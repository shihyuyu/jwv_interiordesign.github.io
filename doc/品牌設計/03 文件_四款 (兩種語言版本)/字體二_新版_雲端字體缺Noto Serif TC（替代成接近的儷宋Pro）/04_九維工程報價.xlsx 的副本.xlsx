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封面" sheetId="1" r:id="rId4"/>
    <sheet state="visible" name="報價" sheetId="2" r:id="rId5"/>
  </sheets>
  <externalReferences>
    <externalReference r:id="rId6"/>
    <externalReference r:id="rId7"/>
    <externalReference r:id="rId8"/>
    <externalReference r:id="rId9"/>
  </externalReferences>
  <definedNames>
    <definedName name="ABC">[1]販売日付!$D$3:$G$151</definedName>
    <definedName name="AccessDatabase">"C:\My Documents\和泰興業.mdb"</definedName>
    <definedName name="BBB">[1]当月单价!$A$3:$B$150</definedName>
    <definedName name="DEF">[1]入庫日付!$D$3:$G$151</definedName>
    <definedName name="DEFG">[1]受注済日付!$D$3:$G$152</definedName>
    <definedName name="PERIOD">[2]BASE!$A$8</definedName>
    <definedName name="PLACE">[3]Parameter!#REF!</definedName>
    <definedName name="rs0_CreateDate">[4]XLR_ParamSheet!$A$2</definedName>
    <definedName name="RS0_CreatorName">[4]XLR_ParamSheet!$A$3</definedName>
    <definedName name="用途">[3]Parameter!#REF!</definedName>
    <definedName name="按鈕_1">"和泰興業_大金分離式_List"</definedName>
    <definedName name="tkmdb2">#REF!</definedName>
    <definedName name="tkmdb">#REF!</definedName>
    <definedName name="日本品利益計算">#REF!</definedName>
    <definedName name="和泰興業_大金分離式_List">#REF!</definedName>
  </definedNames>
  <calcPr/>
  <extLst>
    <ext uri="GoogleSheetsCustomDataVersion2">
      <go:sheetsCustomData xmlns:go="http://customooxmlschemas.google.com/" r:id="rId10" roundtripDataChecksum="8uJrAYah+ccCh+BVNJlICNatijH3py0yowZFFKu86ZE="/>
    </ext>
  </extLst>
</workbook>
</file>

<file path=xl/sharedStrings.xml><?xml version="1.0" encoding="utf-8"?>
<sst xmlns="http://schemas.openxmlformats.org/spreadsheetml/2006/main" count="548" uniqueCount="306">
  <si>
    <t>＿＿＿＿＿ 室 內 裝 修 工 程</t>
  </si>
  <si>
    <t xml:space="preserve">        </t>
  </si>
  <si>
    <t>工  程  報  價  單</t>
  </si>
  <si>
    <t>填表：九維室內裝修設計有限公司</t>
  </si>
  <si>
    <t>時間：     年     月     日</t>
  </si>
  <si>
    <t>項 次</t>
  </si>
  <si>
    <t>項           目</t>
  </si>
  <si>
    <t>單 位</t>
  </si>
  <si>
    <t>數 量</t>
  </si>
  <si>
    <t>單 價</t>
  </si>
  <si>
    <t>總 價</t>
  </si>
  <si>
    <t>A</t>
  </si>
  <si>
    <t>拆除工程</t>
  </si>
  <si>
    <t>式</t>
  </si>
  <si>
    <t>B</t>
  </si>
  <si>
    <t>水電工程</t>
  </si>
  <si>
    <t>C</t>
  </si>
  <si>
    <t>空調工程</t>
  </si>
  <si>
    <t>D</t>
  </si>
  <si>
    <t>金屬五金工程</t>
  </si>
  <si>
    <t>E</t>
  </si>
  <si>
    <t>泥作工程</t>
  </si>
  <si>
    <t>F</t>
  </si>
  <si>
    <t>隔間工程</t>
  </si>
  <si>
    <t>G</t>
  </si>
  <si>
    <t>木作工程</t>
  </si>
  <si>
    <t>H</t>
  </si>
  <si>
    <t>油漆壁材工程</t>
  </si>
  <si>
    <t>I</t>
  </si>
  <si>
    <t>大理石工程</t>
  </si>
  <si>
    <t>J</t>
  </si>
  <si>
    <t>其他工程</t>
  </si>
  <si>
    <t>K</t>
  </si>
  <si>
    <t>清潔及運雜費</t>
  </si>
  <si>
    <t>L</t>
  </si>
  <si>
    <t>工程管理費</t>
  </si>
  <si>
    <t>合計</t>
  </si>
  <si>
    <t>M</t>
  </si>
  <si>
    <t>稅金</t>
  </si>
  <si>
    <t>總計</t>
  </si>
  <si>
    <t>本工程價格折扣後以新台幣7,380,000元承攬本工程</t>
  </si>
  <si>
    <r>
      <rPr>
        <rFont val="LiSong Pro"/>
        <color theme="1"/>
        <sz val="12.0"/>
      </rPr>
      <t>備註</t>
    </r>
    <r>
      <rPr>
        <rFont val="LiSong Pro"/>
        <color theme="1"/>
        <sz val="12.0"/>
      </rPr>
      <t>:</t>
    </r>
  </si>
  <si>
    <r>
      <rPr>
        <rFont val="LiSong Pro"/>
        <color theme="1"/>
        <sz val="12.0"/>
      </rPr>
      <t>1.</t>
    </r>
    <r>
      <rPr>
        <rFont val="LiSong Pro"/>
        <color theme="1"/>
        <sz val="12.0"/>
      </rPr>
      <t>本工程報價單不包含窗簾、</t>
    </r>
    <r>
      <rPr>
        <rFont val="LiSong Pro"/>
        <color theme="1"/>
        <sz val="12.0"/>
      </rPr>
      <t>廚具、衛生設備等, 詳細施工項目依報價單上細項為準.</t>
    </r>
  </si>
  <si>
    <r>
      <rPr>
        <rFont val="LiSong Pro"/>
        <color theme="1"/>
        <sz val="12.0"/>
      </rPr>
      <t>2.</t>
    </r>
    <r>
      <rPr>
        <rFont val="LiSong Pro"/>
        <color theme="1"/>
        <sz val="12.0"/>
      </rPr>
      <t>本工程報價不包含室裝審查申請</t>
    </r>
    <r>
      <rPr>
        <rFont val="LiSong Pro"/>
        <color theme="1"/>
        <sz val="12.0"/>
      </rPr>
      <t>.</t>
    </r>
  </si>
  <si>
    <t>3.本工程報價單,包含5%營業稅.</t>
  </si>
  <si>
    <t>項次</t>
  </si>
  <si>
    <r>
      <rPr>
        <rFont val="LiSong Pro"/>
        <color theme="1"/>
        <sz val="12.0"/>
      </rPr>
      <t>項</t>
    </r>
    <r>
      <rPr>
        <rFont val="LiSong Pro"/>
        <color theme="1"/>
        <sz val="12.0"/>
      </rPr>
      <t xml:space="preserve">           </t>
    </r>
    <r>
      <rPr>
        <rFont val="LiSong Pro"/>
        <color theme="1"/>
        <sz val="12.0"/>
      </rPr>
      <t>目</t>
    </r>
  </si>
  <si>
    <t>單位</t>
  </si>
  <si>
    <r>
      <rPr>
        <rFont val="LiSong Pro"/>
        <color theme="1"/>
        <sz val="12.0"/>
      </rPr>
      <t>總</t>
    </r>
    <r>
      <rPr>
        <rFont val="LiSong Pro"/>
        <color theme="1"/>
        <sz val="12.0"/>
      </rPr>
      <t xml:space="preserve">  </t>
    </r>
    <r>
      <rPr>
        <rFont val="LiSong Pro"/>
        <color theme="1"/>
        <sz val="12.0"/>
      </rPr>
      <t>價</t>
    </r>
  </si>
  <si>
    <t>保護工程</t>
  </si>
  <si>
    <t>梯間保護工程</t>
  </si>
  <si>
    <t>室內地坪保護工程</t>
  </si>
  <si>
    <t>小計</t>
  </si>
  <si>
    <t>電源迴路</t>
  </si>
  <si>
    <t>回</t>
  </si>
  <si>
    <t>電燈出線口</t>
  </si>
  <si>
    <t>只</t>
  </si>
  <si>
    <t>開關出線口</t>
  </si>
  <si>
    <t>插座出線口</t>
  </si>
  <si>
    <t>地板插座出線口</t>
  </si>
  <si>
    <t>專用插座出線口</t>
  </si>
  <si>
    <t>電話出線口</t>
  </si>
  <si>
    <t>電視出線口</t>
  </si>
  <si>
    <t>網路出線CAT6a</t>
  </si>
  <si>
    <t>USB插座出線口</t>
  </si>
  <si>
    <t>喇叭發燒線配線</t>
  </si>
  <si>
    <t>組</t>
  </si>
  <si>
    <t>緊急呼叫鈕</t>
  </si>
  <si>
    <t>HDMI出線口</t>
  </si>
  <si>
    <t>暖風機配管安裝</t>
  </si>
  <si>
    <t>台</t>
  </si>
  <si>
    <t>浴室淋浴給排水配管修改</t>
  </si>
  <si>
    <t>件</t>
  </si>
  <si>
    <t>浴缸給排水配管修改</t>
  </si>
  <si>
    <t>臉盆給排水配管修改</t>
  </si>
  <si>
    <t>馬桶給排水配管</t>
  </si>
  <si>
    <t>廚房給排水配管</t>
  </si>
  <si>
    <t>浴室排風管配管延伸</t>
  </si>
  <si>
    <t>處</t>
  </si>
  <si>
    <t>廚房排煙管配管</t>
  </si>
  <si>
    <t>支</t>
  </si>
  <si>
    <t>灑水頭修改</t>
  </si>
  <si>
    <t>灑水頭增設</t>
  </si>
  <si>
    <t>火警感知器</t>
  </si>
  <si>
    <t>瓦斯警報器</t>
  </si>
  <si>
    <t>衛浴設備安裝</t>
  </si>
  <si>
    <t>間</t>
  </si>
  <si>
    <t>打鑿工資及修補</t>
  </si>
  <si>
    <t>燈具安裝工資</t>
  </si>
  <si>
    <r>
      <rPr>
        <rFont val="LiSong Pro"/>
        <color theme="1"/>
        <sz val="12.0"/>
      </rPr>
      <t>LED</t>
    </r>
    <r>
      <rPr>
        <rFont val="LiSong Pro"/>
        <color theme="1"/>
        <sz val="12.0"/>
      </rPr>
      <t>投射燈</t>
    </r>
    <r>
      <rPr>
        <rFont val="LiSong Pro"/>
        <color theme="1"/>
        <sz val="12.0"/>
      </rPr>
      <t>7wX1</t>
    </r>
  </si>
  <si>
    <t>盞</t>
  </si>
  <si>
    <t>霧玻璃圓崁燈  LED</t>
  </si>
  <si>
    <t>LED硬條燈</t>
  </si>
  <si>
    <t>承板LED日光燈</t>
  </si>
  <si>
    <t>LED AR111崁燈(四燈)</t>
  </si>
  <si>
    <t>投射燈軌道</t>
  </si>
  <si>
    <t>軌道投射燈</t>
  </si>
  <si>
    <t>餐廳吊燈組</t>
  </si>
  <si>
    <t>主臥小夜燈</t>
  </si>
  <si>
    <t>主臥床頭燈</t>
  </si>
  <si>
    <t>調光器</t>
  </si>
  <si>
    <t>燈具感應器(1組)</t>
  </si>
  <si>
    <t>燈具微動開關</t>
  </si>
  <si>
    <t xml:space="preserve">只 </t>
  </si>
  <si>
    <t>開關面板PANASONIC RISNA</t>
  </si>
  <si>
    <t>暖風機 TOTO TYB251GKT 220v</t>
  </si>
  <si>
    <t>排風扇 阿拉斯加728</t>
  </si>
  <si>
    <t>主臥訂製玻璃淋浴門</t>
  </si>
  <si>
    <t>次臥訂製玻璃淋浴門</t>
  </si>
  <si>
    <t>除溼棒</t>
  </si>
  <si>
    <t>後陽台人造石洗衣槽櫃組</t>
  </si>
  <si>
    <t>陽台灑水自動系統</t>
  </si>
  <si>
    <r>
      <rPr>
        <rFont val="LiSong Pro"/>
        <b/>
        <color theme="1"/>
        <sz val="12.0"/>
      </rPr>
      <t>空調工程(</t>
    </r>
    <r>
      <rPr>
        <rFont val="LiSong Pro"/>
        <b val="0"/>
        <color theme="1"/>
        <sz val="12.0"/>
      </rPr>
      <t>不含智能控制配線)</t>
    </r>
  </si>
  <si>
    <t>一</t>
  </si>
  <si>
    <t>室外機(建商附贈)</t>
  </si>
  <si>
    <t>二</t>
  </si>
  <si>
    <t>大金變頻多聯室內機</t>
  </si>
  <si>
    <t>大金變頻多聯室內機(吊隱式)</t>
  </si>
  <si>
    <t>CDXS60DVMT  (客餐廳)</t>
  </si>
  <si>
    <t>大金變頻多聯室內機(壁掛式)</t>
  </si>
  <si>
    <t>FXAQ20AVLT  (工作室)</t>
  </si>
  <si>
    <t>BP分配箱</t>
  </si>
  <si>
    <t>分歧管</t>
  </si>
  <si>
    <t>CDXS30DVMT  (視聽室)</t>
  </si>
  <si>
    <t>CDXS50DVMT  (主臥+更衣室)</t>
  </si>
  <si>
    <t>CDXS40DVMT  (廚房)</t>
  </si>
  <si>
    <t>FXAQ25AVLT  (次臥室)</t>
  </si>
  <si>
    <t>無線遙控--BRC7M675</t>
  </si>
  <si>
    <t>三</t>
  </si>
  <si>
    <t>系統處理</t>
  </si>
  <si>
    <t>四</t>
  </si>
  <si>
    <t>新鮮空氣系統</t>
  </si>
  <si>
    <t>全熱交換器VAMF250HVLT</t>
  </si>
  <si>
    <t>管槽</t>
  </si>
  <si>
    <t>米</t>
  </si>
  <si>
    <t>牆蓋</t>
  </si>
  <si>
    <t>個</t>
  </si>
  <si>
    <t>彎頭</t>
  </si>
  <si>
    <t>軟管</t>
  </si>
  <si>
    <t>五</t>
  </si>
  <si>
    <t>風管工程</t>
  </si>
  <si>
    <t xml:space="preserve"> </t>
  </si>
  <si>
    <t>全熱交換器螺旋風管管材和保溫</t>
  </si>
  <si>
    <t>室內機集風箱</t>
  </si>
  <si>
    <t>鋁製線型無框風口</t>
  </si>
  <si>
    <t>線型風箱</t>
  </si>
  <si>
    <t>伸縮自由軟管</t>
  </si>
  <si>
    <t>五金另件</t>
  </si>
  <si>
    <t>風箱.風口.軟管.螺旋風管安裝</t>
  </si>
  <si>
    <t>主牆金屬屏風造型(噴烤漆)</t>
  </si>
  <si>
    <t>座</t>
  </si>
  <si>
    <t>視聽室金屬隔間 (作船舶紅丹防銹)</t>
  </si>
  <si>
    <t>上項噴漆處理</t>
  </si>
  <si>
    <t>視聽室工作室造型金屬隔間 (作船舶紅丹防銹)</t>
  </si>
  <si>
    <t>壁面鑲古咖啡鈦金屬條,3mm實心</t>
  </si>
  <si>
    <t>展示櫃內金屬固定棒</t>
  </si>
  <si>
    <t>全室地坪泥水中介材塗佈(不含浴室)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</si>
  <si>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</si>
  <si>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浴室進口防水塗料圖佈(收漏喜)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</si>
  <si>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</si>
  <si>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r>
      <rPr>
        <rFont val="LiSong Pro"/>
        <color theme="1"/>
        <sz val="12.0"/>
      </rPr>
      <t>主臥</t>
    </r>
    <r>
      <rPr>
        <rFont val="LiSong Pro"/>
        <color theme="1"/>
        <sz val="12.0"/>
      </rPr>
      <t xml:space="preserve"> </t>
    </r>
    <r>
      <rPr>
        <rFont val="LiSong Pro"/>
        <color theme="1"/>
        <sz val="12.0"/>
      </rPr>
      <t>客用洗手間地面</t>
    </r>
    <r>
      <rPr>
        <rFont val="LiSong Pro"/>
        <color theme="1"/>
        <sz val="12.0"/>
      </rPr>
      <t>1:3</t>
    </r>
    <r>
      <rPr>
        <rFont val="LiSong Pro"/>
        <color theme="1"/>
        <sz val="12.0"/>
      </rPr>
      <t>水泥粉刷打底</t>
    </r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</si>
  <si>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</si>
  <si>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r>
      <rPr>
        <rFont val="LiSong Pro"/>
        <color theme="1"/>
        <sz val="12.0"/>
      </rPr>
      <t>主臥</t>
    </r>
    <r>
      <rPr>
        <rFont val="LiSong Pro"/>
        <color theme="1"/>
        <sz val="12.0"/>
      </rPr>
      <t xml:space="preserve"> </t>
    </r>
    <r>
      <rPr>
        <rFont val="LiSong Pro"/>
        <color theme="1"/>
        <sz val="12.0"/>
      </rPr>
      <t>客用洗手間壁地面貼磁磚工資及另料</t>
    </r>
    <r>
      <rPr>
        <rFont val="LiSong Pro"/>
        <color theme="1"/>
        <sz val="12.0"/>
      </rPr>
      <t>(</t>
    </r>
    <r>
      <rPr>
        <rFont val="LiSong Pro"/>
        <color theme="1"/>
        <sz val="12.0"/>
      </rPr>
      <t>不含磁磚</t>
    </r>
    <r>
      <rPr>
        <rFont val="LiSong Pro"/>
        <color theme="1"/>
        <sz val="12.0"/>
      </rPr>
      <t>)</t>
    </r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</si>
  <si>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</si>
  <si>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浴室大板磚安裝</t>
  </si>
  <si>
    <t>才</t>
  </si>
  <si>
    <t>客廳主臥臥室工作室地坪1:3水泥粉刷整平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</si>
  <si>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</si>
  <si>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餐廳廚房地坪鋪設磁磚工料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</si>
  <si>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</si>
  <si>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儲物間地坪鋪設磁磚工料(60X60)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</si>
  <si>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3</t>
    </r>
  </si>
  <si>
    <t>磁磚轉角倒角美容</t>
  </si>
  <si>
    <t>水泥砂泥材搬運工</t>
  </si>
  <si>
    <t>餐廳廚房60X120牙霧地磚(羅特麗)</t>
  </si>
  <si>
    <t>片</t>
  </si>
  <si>
    <t>客浴壁玄關餐廳主色 300X150阿拉斯加白色大阪磚(羅特麗)</t>
  </si>
  <si>
    <t>客浴地壁60X120磁磚(羅特麗)</t>
  </si>
  <si>
    <t>主浴主牆120X278瑪瑙藍亮面(羅特麗)</t>
  </si>
  <si>
    <t>主浴地壁30X60磁磚白(羅特麗)</t>
  </si>
  <si>
    <t>主浴地壁30X60磁磚銀狐霧面(羅特麗)</t>
  </si>
  <si>
    <t>進口填縫土</t>
  </si>
  <si>
    <t>上項磁磚送廠加工</t>
  </si>
  <si>
    <t>輕型鋼4分矽酸鈣板隔間  (國圃)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</si>
  <si>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</si>
  <si>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木筋矽酸鈣板封單面板  ( 力士板)</t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</si>
  <si>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</si>
  <si>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臥室單開暗門(貼木皮)(內填隔音岩棉)(加膠條) D=40mm</t>
  </si>
  <si>
    <t>樘</t>
  </si>
  <si>
    <t>浴室單開門(貼木皮)(內填隔音岩棉)(加膠條) D=40mm</t>
  </si>
  <si>
    <t>視聽室拉門(輕質鋁門)</t>
  </si>
  <si>
    <t>陶藝工作室拉門(輕質鋁門)</t>
  </si>
  <si>
    <t>玄關</t>
  </si>
  <si>
    <t>玄關展示櫃(貼木紋板)</t>
  </si>
  <si>
    <t>玄關抽屜櫃  (貼木紋板)</t>
  </si>
  <si>
    <t>尺</t>
  </si>
  <si>
    <t>玄關走道壁面封板  (貼木紋板)</t>
  </si>
  <si>
    <t xml:space="preserve">客廳 </t>
  </si>
  <si>
    <t>走道鞋櫃及展示櫃 (貼木紋板)</t>
  </si>
  <si>
    <t>客廳電視櫃矮櫃 (貼木紋板)</t>
  </si>
  <si>
    <t>客廳正面高櫃展示櫃 (貼木紋板)</t>
  </si>
  <si>
    <t>電視牆封牆板設管槽</t>
  </si>
  <si>
    <t>背面走道ㄇ型造型框(貼木紋板)</t>
  </si>
  <si>
    <t>背牆隔間及壁面貼木紋板(矽酸鈣板)</t>
  </si>
  <si>
    <t>餐廳</t>
  </si>
  <si>
    <t>紅酒櫃收邊</t>
  </si>
  <si>
    <t>造型展示高櫃</t>
  </si>
  <si>
    <t>壁面封板貼木紋板</t>
  </si>
  <si>
    <t>儲物間儲物活動承架</t>
  </si>
  <si>
    <t>儲物間儲物固定板一層</t>
  </si>
  <si>
    <t>餐桌邊矮櫃H:118cm(貼木紋板)</t>
  </si>
  <si>
    <t>廚房</t>
  </si>
  <si>
    <t>吧檯矮櫃(貼木紋板)</t>
  </si>
  <si>
    <t>雙層乾料櫃儲物櫃</t>
  </si>
  <si>
    <t>冰箱櫃</t>
  </si>
  <si>
    <t>吊櫃(貼木紋板)</t>
  </si>
  <si>
    <t>壁面金屬洞洞板及收邊</t>
  </si>
  <si>
    <t xml:space="preserve">主臥室 </t>
  </si>
  <si>
    <t>床頭封板作造型(隔柵板)</t>
  </si>
  <si>
    <t>樑下儲物衣櫃(廠製)(抽*12)</t>
  </si>
  <si>
    <t>櫃內窗前拉板(貼木紋板)</t>
  </si>
  <si>
    <t>局部壁面封單面板(刷漆)</t>
  </si>
  <si>
    <t>更衣間內儲物高櫃(廠製)H:270cm</t>
  </si>
  <si>
    <t>更衣間內矮櫃(廠製)</t>
  </si>
  <si>
    <t>更衣間內化妝鏡壁板(便品)</t>
  </si>
  <si>
    <t>主臥室床頭櫃矮櫃(貼木紋板)</t>
  </si>
  <si>
    <t>臥室</t>
  </si>
  <si>
    <t>床頭封板造型</t>
  </si>
  <si>
    <t>窗下寫字檯(活動便品)</t>
  </si>
  <si>
    <t>衣櫃高櫃(廠製)</t>
  </si>
  <si>
    <t>衣櫃上儲物櫃</t>
  </si>
  <si>
    <t>床邊書櫃</t>
  </si>
  <si>
    <t>陽台固雅木地板(上日本護木漆)</t>
  </si>
  <si>
    <t>陽台實木台面(上日本護木漆)</t>
  </si>
  <si>
    <t>陽台實木花台架(上日本護木漆)</t>
  </si>
  <si>
    <t>音響工作室</t>
  </si>
  <si>
    <t>書櫃高櫃(貼木紋板)</t>
  </si>
  <si>
    <t>窗邊機櫃矮櫃(貼木紋板)</t>
  </si>
  <si>
    <t>電視機櫃矮櫃(金屬骨架+貼木紋板)</t>
  </si>
  <si>
    <t>壁面線架</t>
  </si>
  <si>
    <t>陶藝工作室</t>
  </si>
  <si>
    <t>儲物高櫃(貼木紋板)</t>
  </si>
  <si>
    <t>儲物矮櫃(貼木紋板)</t>
  </si>
  <si>
    <t>檯面掀版(貼木紋板)</t>
  </si>
  <si>
    <t>浴室</t>
  </si>
  <si>
    <t>主臥室鏡櫃</t>
  </si>
  <si>
    <t>主臥室浴櫃矮櫃</t>
  </si>
  <si>
    <t>上項噴漆</t>
  </si>
  <si>
    <t>客浴鏡櫃</t>
  </si>
  <si>
    <t>客浴矮櫃</t>
  </si>
  <si>
    <t>全室</t>
  </si>
  <si>
    <r>
      <rPr>
        <rFont val="LiSong Pro"/>
        <color theme="1"/>
        <sz val="12.0"/>
      </rPr>
      <t>複式造型天花面封</t>
    </r>
    <r>
      <rPr>
        <rFont val="LiSong Pro"/>
        <color theme="1"/>
        <sz val="12.0"/>
      </rPr>
      <t>5mm</t>
    </r>
    <r>
      <rPr>
        <rFont val="LiSong Pro"/>
        <color theme="1"/>
        <sz val="12.0"/>
      </rPr>
      <t>矽酸鈣板</t>
    </r>
    <r>
      <rPr>
        <rFont val="LiSong Pro"/>
        <color theme="1"/>
        <sz val="12.0"/>
      </rPr>
      <t>(</t>
    </r>
    <r>
      <rPr>
        <rFont val="LiSong Pro"/>
        <color theme="1"/>
        <sz val="12.0"/>
      </rPr>
      <t>輕型鋼架</t>
    </r>
    <r>
      <rPr>
        <rFont val="LiSong Pro"/>
        <color theme="1"/>
        <sz val="12.0"/>
      </rPr>
      <t>,</t>
    </r>
    <r>
      <rPr>
        <rFont val="LiSong Pro"/>
        <color theme="1"/>
        <sz val="12.0"/>
      </rPr>
      <t>日本</t>
    </r>
    <r>
      <rPr>
        <rFont val="LiSong Pro"/>
        <color theme="1"/>
        <sz val="12.0"/>
      </rPr>
      <t>new lux</t>
    </r>
    <r>
      <rPr>
        <rFont val="LiSong Pro"/>
        <color theme="1"/>
        <sz val="12.0"/>
      </rPr>
      <t>板</t>
    </r>
    <r>
      <rPr>
        <rFont val="LiSong Pro"/>
        <color theme="1"/>
        <sz val="12.0"/>
      </rPr>
      <t>,AB</t>
    </r>
    <r>
      <rPr>
        <rFont val="LiSong Pro"/>
        <color theme="1"/>
        <sz val="12.0"/>
      </rPr>
      <t>膠填縫</t>
    </r>
    <r>
      <rPr>
        <rFont val="LiSong Pro"/>
        <color theme="1"/>
        <sz val="12.0"/>
      </rPr>
      <t>)</t>
    </r>
  </si>
  <si>
    <r>
      <rPr>
        <rFont val="LiSong Pro"/>
        <color theme="1"/>
        <sz val="12.0"/>
      </rPr>
      <t>m</t>
    </r>
    <r>
      <rPr>
        <rFont val="LiSong Pro"/>
        <color theme="1"/>
        <sz val="12.0"/>
        <vertAlign val="superscript"/>
      </rPr>
      <t>2</t>
    </r>
  </si>
  <si>
    <t>邊角導圓處理</t>
  </si>
  <si>
    <t>壁掛冷氣底座</t>
  </si>
  <si>
    <t>木作出風口收邊固定座</t>
  </si>
  <si>
    <t>木作檢修口收邊固定座</t>
  </si>
  <si>
    <t>窗簾盒收邊</t>
  </si>
  <si>
    <t>木作天花內砍間接燈盒</t>
  </si>
  <si>
    <t>餐廳天花隔柵板造型(木紋)</t>
  </si>
  <si>
    <t>餐廳天花小型線板(木紋)</t>
  </si>
  <si>
    <t>廚房天花弧行隔柵造型(實木染色)</t>
  </si>
  <si>
    <t>上項噴漆染色處理</t>
  </si>
  <si>
    <t>主臥室天花板四周木皮收邊</t>
  </si>
  <si>
    <t>掛畫軌道</t>
  </si>
  <si>
    <t>鋼刷實木木皮板及上漆染色(含不織布)(科定通越)</t>
  </si>
  <si>
    <t>木紋P.P板 (翰可)</t>
  </si>
  <si>
    <t>全室木作櫉櫃把手五金(含Blum絞鍊抽屜滑軌)</t>
  </si>
  <si>
    <t>地面壁材工程</t>
  </si>
  <si>
    <r>
      <rPr>
        <rFont val="LiSong Pro"/>
        <color theme="1"/>
        <sz val="12.0"/>
      </rPr>
      <t>全室天花批土整平面噴</t>
    </r>
    <r>
      <rPr>
        <rFont val="LiSong Pro"/>
        <color theme="1"/>
        <sz val="12.0"/>
      </rPr>
      <t>ICI</t>
    </r>
    <r>
      <rPr>
        <rFont val="LiSong Pro"/>
        <color theme="1"/>
        <sz val="12.0"/>
      </rPr>
      <t>竹炭漆</t>
    </r>
    <r>
      <rPr>
        <rFont val="LiSong Pro"/>
        <color theme="1"/>
        <sz val="12.0"/>
      </rPr>
      <t>(</t>
    </r>
    <r>
      <rPr>
        <rFont val="LiSong Pro"/>
        <color theme="1"/>
        <sz val="12.0"/>
      </rPr>
      <t>健康認證二底</t>
    </r>
    <r>
      <rPr>
        <rFont val="LiSong Pro"/>
        <color theme="1"/>
        <sz val="12.0"/>
      </rPr>
      <t xml:space="preserve"> </t>
    </r>
    <r>
      <rPr>
        <rFont val="LiSong Pro"/>
        <color theme="1"/>
        <sz val="12.0"/>
      </rPr>
      <t>三度</t>
    </r>
    <r>
      <rPr>
        <rFont val="LiSong Pro"/>
        <color theme="1"/>
        <sz val="12.0"/>
      </rPr>
      <t>)</t>
    </r>
  </si>
  <si>
    <t>全室牆面批土整平面噴ICI竹炭漆(健康認證二底 三度)</t>
  </si>
  <si>
    <t>牆面貼壁紙處批土整平</t>
  </si>
  <si>
    <t>客廳 臥室 視聽室 地坪鋪設6吋大倒角海島型木地板</t>
  </si>
  <si>
    <t>坪</t>
  </si>
  <si>
    <t>主臥室主牆貼壁紙</t>
  </si>
  <si>
    <t>主臥室床頭貼包布板</t>
  </si>
  <si>
    <t>次臥室床頭貼包布板</t>
  </si>
  <si>
    <t>次臥室床頭貼壁紙</t>
  </si>
  <si>
    <t>大理石玻璃工程</t>
  </si>
  <si>
    <t>玄關地板鋪設石材</t>
  </si>
  <si>
    <t>玄關櫃檯面貼天然石材(水磨加工)</t>
  </si>
  <si>
    <t>客廳電視牆貼天然石材(水磨加工)</t>
  </si>
  <si>
    <t>客廳電視檯面貼天然石材(水磨加工)</t>
  </si>
  <si>
    <t>展示櫃大阪磚工廠加工及安裝</t>
  </si>
  <si>
    <t>客用洗手間檯面貼天然石材</t>
  </si>
  <si>
    <t>餐廳桌邊矮櫃石材檯面</t>
  </si>
  <si>
    <t>音響工作室電視矮櫃石材檯面</t>
  </si>
  <si>
    <t>吧檯賽麗石檯面</t>
  </si>
  <si>
    <t>cm</t>
  </si>
  <si>
    <t>吧檯賽麗石造型立面</t>
  </si>
  <si>
    <t>石材美容處理</t>
  </si>
  <si>
    <t>浴室石才門檻</t>
  </si>
  <si>
    <t>淋浴石材門檻</t>
  </si>
  <si>
    <t>壁面5mm灰鏡</t>
  </si>
  <si>
    <t>玄關屏風壓花玻璃</t>
  </si>
  <si>
    <t>主臥室強化玻璃承板</t>
  </si>
  <si>
    <t>次臥書櫃強化玻璃承板</t>
  </si>
  <si>
    <t>臥室浴室鏡櫃明鏡及承板</t>
  </si>
  <si>
    <t>視聽室隔間5+5mm清玻璃</t>
  </si>
  <si>
    <t>工作室5mm清玻璃</t>
  </si>
  <si>
    <t>工作室壁面5mm優白玻璃</t>
  </si>
  <si>
    <t>廚房高櫃玻璃承板</t>
  </si>
  <si>
    <t>主臥臥室穿衣鏡</t>
  </si>
  <si>
    <t>室內裝修審查送審費用</t>
  </si>
  <si>
    <t>大樓每日清潔費(多退少補)</t>
  </si>
  <si>
    <t>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</si>
</sst>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 "/>
    <numFmt numFmtId="165" formatCode="_-* #,##0.0_-;\-* #,##0.0_-;_-* &quot;-&quot;??_-;_-@"/>
    <numFmt numFmtId="166" formatCode="_-* #,##0_-;\-* #,##0_-;_-* &quot;-&quot;??_-;_-@"/>
    <numFmt numFmtId="167" formatCode="_(* #,##0_);_(* \(#,##0\);_(* &quot;-&quot;??_);_(@_)"/>
    <numFmt numFmtId="168" formatCode="_(* #,##0.0_);_(* \(#,##0.0\);_(* &quot;-&quot;??_);_(@_)"/>
    <numFmt numFmtId="169" formatCode="_-* #,##0_-;\-* #,##0_-;_-* &quot;-&quot;_-;_-@"/>
    <numFmt numFmtId="170" formatCode="#,##0.0_ "/>
  </numFmts>
  <fonts count="15">
    <font>
      <sz val="12.0"/>
      <color rgb="FF000000"/>
      <name val="Calibri"/>
      <scheme val="minor"/>
    </font>
    <font>
      <sz val="12.0"/>
      <color theme="1"/>
      <name val="PMingLiu"/>
    </font>
    <font>
      <sz val="12.0"/>
      <color theme="1"/>
      <name val="DFKai-SB"/>
    </font>
    <font>
      <b/>
      <sz val="10.0"/>
      <color theme="1"/>
      <name val="LiSong Pro"/>
    </font>
    <font>
      <b/>
      <sz val="12.0"/>
      <color theme="1"/>
      <name val="PMingLiu"/>
    </font>
    <font>
      <b/>
      <sz val="18.0"/>
      <color theme="1"/>
      <name val="DFKai-SB"/>
    </font>
    <font>
      <sz val="10.0"/>
      <color theme="1"/>
      <name val="LiSong Pro"/>
    </font>
    <font>
      <sz val="12.0"/>
      <color theme="1"/>
      <name val="Noto Sans TC"/>
    </font>
    <font>
      <sz val="12.0"/>
      <color rgb="FF000000"/>
      <name val="PMingLiu"/>
    </font>
    <font>
      <b/>
      <sz val="20.0"/>
      <color rgb="FFFFFFFF"/>
      <name val="LiSong Pro"/>
    </font>
    <font/>
    <font>
      <sz val="12.0"/>
      <color theme="1"/>
      <name val="LiSong Pro"/>
    </font>
    <font>
      <b/>
      <sz val="12.0"/>
      <color theme="1"/>
      <name val="LiSong Pro"/>
    </font>
    <font>
      <b/>
      <sz val="12.0"/>
      <color rgb="FF993300"/>
      <name val="LiSong Pro"/>
    </font>
    <font>
      <sz val="16.0"/>
      <color theme="1"/>
      <name val="LiSong Pro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Font="1"/>
    <xf borderId="0" fillId="0" fontId="2" numFmtId="0" xfId="0" applyFont="1"/>
    <xf borderId="0" fillId="0" fontId="8" numFmtId="0" xfId="0" applyFont="1"/>
    <xf borderId="1" fillId="2" fontId="9" numFmtId="0" xfId="0" applyAlignment="1" applyBorder="1" applyFill="1" applyFont="1">
      <alignment horizontal="center" vertical="center"/>
    </xf>
    <xf borderId="2" fillId="0" fontId="10" numFmtId="0" xfId="0" applyBorder="1" applyFont="1"/>
    <xf borderId="3" fillId="0" fontId="10" numFmtId="0" xfId="0" applyBorder="1" applyFont="1"/>
    <xf borderId="4" fillId="0" fontId="11" numFmtId="164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center" vertical="center"/>
    </xf>
    <xf borderId="4" fillId="0" fontId="11" numFmtId="165" xfId="0" applyAlignment="1" applyBorder="1" applyFont="1" applyNumberFormat="1">
      <alignment horizontal="right" vertical="center"/>
    </xf>
    <xf borderId="4" fillId="0" fontId="11" numFmtId="164" xfId="0" applyAlignment="1" applyBorder="1" applyFont="1" applyNumberFormat="1">
      <alignment horizontal="right" vertical="center"/>
    </xf>
    <xf borderId="4" fillId="0" fontId="11" numFmtId="166" xfId="0" applyAlignment="1" applyBorder="1" applyFont="1" applyNumberFormat="1">
      <alignment horizontal="right" vertical="center"/>
    </xf>
    <xf borderId="5" fillId="0" fontId="12" numFmtId="164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center" vertical="center"/>
    </xf>
    <xf borderId="5" fillId="0" fontId="11" numFmtId="165" xfId="0" applyAlignment="1" applyBorder="1" applyFont="1" applyNumberFormat="1">
      <alignment horizontal="right" vertical="center"/>
    </xf>
    <xf borderId="5" fillId="0" fontId="11" numFmtId="164" xfId="0" applyAlignment="1" applyBorder="1" applyFont="1" applyNumberFormat="1">
      <alignment horizontal="right" vertical="center"/>
    </xf>
    <xf borderId="5" fillId="0" fontId="12" numFmtId="166" xfId="0" applyAlignment="1" applyBorder="1" applyFont="1" applyNumberFormat="1">
      <alignment horizontal="right" vertical="center"/>
    </xf>
    <xf borderId="5" fillId="0" fontId="11" numFmtId="164" xfId="0" applyAlignment="1" applyBorder="1" applyFont="1" applyNumberFormat="1">
      <alignment horizontal="center" vertical="center"/>
    </xf>
    <xf borderId="5" fillId="0" fontId="11" numFmtId="166" xfId="0" applyAlignment="1" applyBorder="1" applyFont="1" applyNumberFormat="1">
      <alignment horizontal="right" vertical="center"/>
    </xf>
    <xf borderId="5" fillId="0" fontId="11" numFmtId="0" xfId="0" applyAlignment="1" applyBorder="1" applyFont="1">
      <alignment horizontal="left" vertical="center"/>
    </xf>
    <xf borderId="5" fillId="0" fontId="13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left" vertical="center"/>
    </xf>
    <xf borderId="7" fillId="0" fontId="10" numFmtId="0" xfId="0" applyBorder="1" applyFont="1"/>
    <xf borderId="8" fillId="0" fontId="10" numFmtId="0" xfId="0" applyBorder="1" applyFont="1"/>
    <xf borderId="5" fillId="3" fontId="12" numFmtId="0" xfId="0" applyAlignment="1" applyBorder="1" applyFill="1" applyFont="1">
      <alignment horizontal="left" vertical="center"/>
    </xf>
    <xf borderId="5" fillId="0" fontId="11" numFmtId="167" xfId="0" applyAlignment="1" applyBorder="1" applyFont="1" applyNumberFormat="1">
      <alignment horizontal="right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right" vertical="center"/>
    </xf>
    <xf borderId="5" fillId="4" fontId="11" numFmtId="0" xfId="0" applyAlignment="1" applyBorder="1" applyFill="1" applyFont="1">
      <alignment horizontal="left" vertical="center"/>
    </xf>
    <xf borderId="5" fillId="4" fontId="11" numFmtId="0" xfId="0" applyAlignment="1" applyBorder="1" applyFont="1">
      <alignment horizontal="center" vertical="center"/>
    </xf>
    <xf borderId="5" fillId="4" fontId="11" numFmtId="168" xfId="0" applyAlignment="1" applyBorder="1" applyFont="1" applyNumberFormat="1">
      <alignment horizontal="right" vertical="center"/>
    </xf>
    <xf borderId="9" fillId="4" fontId="11" numFmtId="0" xfId="0" applyAlignment="1" applyBorder="1" applyFont="1">
      <alignment horizontal="left" vertical="center"/>
    </xf>
    <xf borderId="9" fillId="4" fontId="11" numFmtId="0" xfId="0" applyAlignment="1" applyBorder="1" applyFont="1">
      <alignment horizontal="center" vertical="center"/>
    </xf>
    <xf borderId="9" fillId="4" fontId="11" numFmtId="168" xfId="0" applyAlignment="1" applyBorder="1" applyFont="1" applyNumberFormat="1">
      <alignment horizontal="right" vertical="center"/>
    </xf>
    <xf borderId="10" fillId="0" fontId="11" numFmtId="166" xfId="0" applyAlignment="1" applyBorder="1" applyFont="1" applyNumberFormat="1">
      <alignment horizontal="right" vertical="center"/>
    </xf>
    <xf borderId="10" fillId="0" fontId="11" numFmtId="164" xfId="0" applyAlignment="1" applyBorder="1" applyFont="1" applyNumberFormat="1">
      <alignment horizontal="right" vertical="center"/>
    </xf>
    <xf borderId="5" fillId="0" fontId="11" numFmtId="169" xfId="0" applyAlignment="1" applyBorder="1" applyFont="1" applyNumberFormat="1">
      <alignment horizontal="right" vertical="center"/>
    </xf>
    <xf borderId="5" fillId="0" fontId="14" numFmtId="0" xfId="0" applyAlignment="1" applyBorder="1" applyFont="1">
      <alignment horizontal="right" vertical="center"/>
    </xf>
    <xf borderId="5" fillId="0" fontId="14" numFmtId="166" xfId="0" applyAlignment="1" applyBorder="1" applyFont="1" applyNumberFormat="1">
      <alignment horizontal="right" vertical="center"/>
    </xf>
    <xf borderId="0" fillId="0" fontId="11" numFmtId="0" xfId="0" applyAlignment="1" applyFont="1">
      <alignment horizontal="center" vertical="center"/>
    </xf>
    <xf borderId="0" fillId="0" fontId="11" numFmtId="165" xfId="0" applyAlignment="1" applyFont="1" applyNumberFormat="1">
      <alignment horizontal="right" vertical="center"/>
    </xf>
    <xf borderId="5" fillId="0" fontId="11" numFmtId="170" xfId="0" applyAlignment="1" applyBorder="1" applyFont="1" applyNumberFormat="1">
      <alignment horizontal="right" vertical="center"/>
    </xf>
    <xf borderId="5" fillId="4" fontId="12" numFmtId="0" xfId="0" applyAlignment="1" applyBorder="1" applyFont="1">
      <alignment horizontal="left" vertical="center"/>
    </xf>
    <xf borderId="5" fillId="4" fontId="11" numFmtId="165" xfId="0" applyAlignment="1" applyBorder="1" applyFont="1" applyNumberFormat="1">
      <alignment horizontal="right" vertical="center"/>
    </xf>
    <xf borderId="5" fillId="4" fontId="12" numFmtId="166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/>
    </xf>
    <xf borderId="0" fillId="0" fontId="1" numFmtId="166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00025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0.1\tsc_documents\&#29983;&#20135;&#31649;&#29702;&#37096;\&#29983;&#29987;&#31649;&#29702;&#20418;\&#35069;&#21697;&#29983;&#36009;&#22312;&#24773;&#22577;\07.09\&#22269;&#20869;&#29983;&#36009;&#22312;&#26376;&#22577;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Tosa4888\&#25512;&#36914;G-04\!PedionTM\!%20&#12304;TUS%20Documents&#12305;\!!TUS&#27770;&#31639;&#36001;&#21209;&#35576;&#34920;\PL00K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1111\COM\VRV&amp;&#27700;&#20919;&#20912;&#27700;&#22823;&#38520;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ILE\2014&#24180;\&#22823;&#21932;&#26408;&#22320;&#26495;-&#21729;&#23665;75&#22378;%20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国内财务报表"/>
      <sheetName val="当月单价"/>
      <sheetName val="国内汇总表"/>
      <sheetName val="受注済日付"/>
      <sheetName val="入庫日付"/>
      <sheetName val="販売日付"/>
      <sheetName val="未達成クエリ"/>
      <sheetName val="入库查询"/>
      <sheetName val="定单查询"/>
      <sheetName val="出库查询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"/>
      <sheetName val="COMMENT"/>
      <sheetName val="TIAPLLIST"/>
      <sheetName val="TKUPLLIST"/>
      <sheetName val="TUSPLLIST"/>
      <sheetName val="GROUPPLLIST"/>
      <sheetName val="CERAMICPLLIST"/>
      <sheetName val="OUTCERAPLLIST"/>
      <sheetName val="ADJSTPLLIST"/>
      <sheetName val="TIAPLBUD"/>
      <sheetName val="TKUPLBUD"/>
      <sheetName val="CERAMICPLBUD"/>
      <sheetName val="TUSPLBUD"/>
      <sheetName val="ADJUST1BUD"/>
      <sheetName val="ADJUST2BUD"/>
      <sheetName val="CONSOLIPLBUD"/>
      <sheetName val="TIAPL"/>
      <sheetName val="TKUPL"/>
      <sheetName val="CERAMICPL"/>
      <sheetName val="TUSPL"/>
      <sheetName val="ADJUST1"/>
      <sheetName val="ADJUST2"/>
      <sheetName val="CONSOLIPL"/>
      <sheetName val="TIAPL99ACT"/>
      <sheetName val="TKUPL99ACT"/>
      <sheetName val="CERAMIC99ACT"/>
      <sheetName val="TUSPL99ACT"/>
      <sheetName val="ADJUST199ACT"/>
      <sheetName val="ADJUST299ACT"/>
      <sheetName val="CONSOLIPL99ACT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ditions"/>
      <sheetName val="Spec(VRV)"/>
      <sheetName val="Electricity"/>
      <sheetName val="封面"/>
      <sheetName val="比較表"/>
      <sheetName val="運轉條件"/>
      <sheetName val="VRV規格"/>
      <sheetName val="冰水電費計算 (400)"/>
      <sheetName val="VRV電費計算"/>
      <sheetName val="冰水電費計算"/>
      <sheetName val="費用比較"/>
      <sheetName val="Parameter"/>
      <sheetName val="Cover"/>
      <sheetName val="Power per area"/>
      <sheetName val="Spec(Chiller)"/>
      <sheetName val="How to"/>
      <sheetName val="How to (2)"/>
      <sheetName val="ChillerSpec"/>
      <sheetName val="McDb"/>
      <sheetName val="Module1"/>
      <sheetName val="Module2"/>
      <sheetName val="Module2C"/>
      <sheetName val="Module3"/>
      <sheetName val="Module4"/>
      <sheetName val="Module5"/>
      <sheetName val="WtDb"/>
      <sheetName val="LC"/>
      <sheetName val="Module5C"/>
      <sheetName val="McS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木地板"/>
      <sheetName val="XLR_Param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10.89"/>
    <col customWidth="1" min="3" max="3" width="8.11"/>
    <col customWidth="1" min="4" max="7" width="5.0"/>
    <col customWidth="1" min="8" max="8" width="12.56"/>
    <col customWidth="1" min="9" max="9" width="5.33"/>
    <col customWidth="1" min="10" max="26" width="5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2"/>
      <c r="D14" s="2"/>
      <c r="E14" s="2"/>
      <c r="F14" s="2"/>
      <c r="G14" s="2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4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2"/>
      <c r="D19" s="5" t="s">
        <v>1</v>
      </c>
      <c r="E19" s="6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2"/>
      <c r="D20" s="5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4" t="s">
        <v>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7" t="s">
        <v>3</v>
      </c>
      <c r="I33" s="8"/>
      <c r="J33" s="8"/>
      <c r="K33" s="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2"/>
      <c r="D34" s="2"/>
      <c r="E34" s="2"/>
      <c r="F34" s="3"/>
      <c r="G34" s="3"/>
      <c r="H34" s="3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7" t="s">
        <v>4</v>
      </c>
      <c r="I35" s="8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C7:H13"/>
    <mergeCell ref="C16:H18"/>
    <mergeCell ref="C29:H30"/>
    <mergeCell ref="C33:H33"/>
    <mergeCell ref="C35:H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48.44"/>
    <col customWidth="1" min="3" max="3" width="4.89"/>
    <col customWidth="1" min="4" max="4" width="4.78"/>
    <col customWidth="1" min="5" max="5" width="13.22"/>
    <col customWidth="1" min="6" max="6" width="13.11"/>
    <col customWidth="1" min="7" max="25" width="7.0"/>
  </cols>
  <sheetData>
    <row r="1" ht="53.25" customHeight="1">
      <c r="A1" s="11" t="s">
        <v>0</v>
      </c>
      <c r="B1" s="12"/>
      <c r="C1" s="12"/>
      <c r="D1" s="12"/>
      <c r="E1" s="12"/>
      <c r="F1" s="13"/>
    </row>
    <row r="2" ht="22.5" customHeight="1">
      <c r="A2" s="14" t="s">
        <v>5</v>
      </c>
      <c r="B2" s="15" t="s">
        <v>6</v>
      </c>
      <c r="C2" s="16" t="s">
        <v>7</v>
      </c>
      <c r="D2" s="17" t="s">
        <v>8</v>
      </c>
      <c r="E2" s="18" t="s">
        <v>9</v>
      </c>
      <c r="F2" s="19" t="s">
        <v>10</v>
      </c>
    </row>
    <row r="3" ht="22.5" customHeight="1">
      <c r="A3" s="20" t="s">
        <v>11</v>
      </c>
      <c r="B3" s="21" t="s">
        <v>12</v>
      </c>
      <c r="C3" s="22" t="s">
        <v>13</v>
      </c>
      <c r="D3" s="23">
        <v>1.0</v>
      </c>
      <c r="E3" s="24"/>
      <c r="F3" s="25"/>
    </row>
    <row r="4" ht="22.5" customHeight="1">
      <c r="A4" s="20" t="s">
        <v>14</v>
      </c>
      <c r="B4" s="21" t="s">
        <v>15</v>
      </c>
      <c r="C4" s="22" t="s">
        <v>13</v>
      </c>
      <c r="D4" s="23">
        <v>1.0</v>
      </c>
      <c r="E4" s="24"/>
      <c r="F4" s="25"/>
    </row>
    <row r="5" ht="22.5" customHeight="1">
      <c r="A5" s="20" t="s">
        <v>16</v>
      </c>
      <c r="B5" s="21" t="s">
        <v>17</v>
      </c>
      <c r="C5" s="22" t="s">
        <v>13</v>
      </c>
      <c r="D5" s="23">
        <v>1.0</v>
      </c>
      <c r="E5" s="24"/>
      <c r="F5" s="25"/>
    </row>
    <row r="6" ht="22.5" customHeight="1">
      <c r="A6" s="20" t="s">
        <v>18</v>
      </c>
      <c r="B6" s="21" t="s">
        <v>19</v>
      </c>
      <c r="C6" s="22" t="s">
        <v>13</v>
      </c>
      <c r="D6" s="23">
        <v>1.0</v>
      </c>
      <c r="E6" s="24"/>
      <c r="F6" s="25"/>
    </row>
    <row r="7" ht="22.5" customHeight="1">
      <c r="A7" s="20" t="s">
        <v>20</v>
      </c>
      <c r="B7" s="21" t="s">
        <v>21</v>
      </c>
      <c r="C7" s="22" t="s">
        <v>13</v>
      </c>
      <c r="D7" s="23">
        <v>1.0</v>
      </c>
      <c r="E7" s="24"/>
      <c r="F7" s="25"/>
    </row>
    <row r="8" ht="22.5" customHeight="1">
      <c r="A8" s="20" t="s">
        <v>22</v>
      </c>
      <c r="B8" s="21" t="s">
        <v>23</v>
      </c>
      <c r="C8" s="22" t="s">
        <v>13</v>
      </c>
      <c r="D8" s="23">
        <v>1.0</v>
      </c>
      <c r="E8" s="24"/>
      <c r="F8" s="25"/>
    </row>
    <row r="9" ht="22.5" customHeight="1">
      <c r="A9" s="20" t="s">
        <v>24</v>
      </c>
      <c r="B9" s="21" t="s">
        <v>25</v>
      </c>
      <c r="C9" s="22" t="s">
        <v>13</v>
      </c>
      <c r="D9" s="23">
        <v>1.0</v>
      </c>
      <c r="E9" s="24"/>
      <c r="F9" s="25"/>
    </row>
    <row r="10" ht="22.5" customHeight="1">
      <c r="A10" s="20" t="s">
        <v>26</v>
      </c>
      <c r="B10" s="21" t="s">
        <v>27</v>
      </c>
      <c r="C10" s="22" t="s">
        <v>13</v>
      </c>
      <c r="D10" s="23">
        <v>1.0</v>
      </c>
      <c r="E10" s="24"/>
      <c r="F10" s="25"/>
    </row>
    <row r="11" ht="22.5" customHeight="1">
      <c r="A11" s="20" t="s">
        <v>28</v>
      </c>
      <c r="B11" s="21" t="s">
        <v>29</v>
      </c>
      <c r="C11" s="22" t="s">
        <v>13</v>
      </c>
      <c r="D11" s="23">
        <v>1.0</v>
      </c>
      <c r="E11" s="24"/>
      <c r="F11" s="25"/>
    </row>
    <row r="12" ht="22.5" customHeight="1">
      <c r="A12" s="20" t="s">
        <v>30</v>
      </c>
      <c r="B12" s="21" t="s">
        <v>31</v>
      </c>
      <c r="C12" s="22" t="s">
        <v>13</v>
      </c>
      <c r="D12" s="23">
        <v>1.0</v>
      </c>
      <c r="E12" s="24"/>
      <c r="F12" s="25"/>
    </row>
    <row r="13" ht="22.5" customHeight="1">
      <c r="A13" s="20" t="s">
        <v>32</v>
      </c>
      <c r="B13" s="21" t="s">
        <v>33</v>
      </c>
      <c r="C13" s="22" t="s">
        <v>13</v>
      </c>
      <c r="D13" s="23">
        <v>1.0</v>
      </c>
      <c r="E13" s="24"/>
      <c r="F13" s="25"/>
    </row>
    <row r="14" ht="22.5" customHeight="1">
      <c r="A14" s="20" t="s">
        <v>34</v>
      </c>
      <c r="B14" s="21" t="s">
        <v>35</v>
      </c>
      <c r="C14" s="22" t="s">
        <v>13</v>
      </c>
      <c r="D14" s="23">
        <v>1.0</v>
      </c>
      <c r="E14" s="24"/>
      <c r="F14" s="25"/>
    </row>
    <row r="15" ht="22.5" customHeight="1">
      <c r="A15" s="26"/>
      <c r="B15" s="21" t="s">
        <v>36</v>
      </c>
      <c r="C15" s="22"/>
      <c r="D15" s="23"/>
      <c r="E15" s="24"/>
      <c r="F15" s="25"/>
    </row>
    <row r="16" ht="22.5" customHeight="1">
      <c r="A16" s="20" t="s">
        <v>37</v>
      </c>
      <c r="B16" s="21" t="s">
        <v>38</v>
      </c>
      <c r="C16" s="22" t="s">
        <v>13</v>
      </c>
      <c r="D16" s="23">
        <v>1.0</v>
      </c>
      <c r="E16" s="24"/>
      <c r="F16" s="25"/>
    </row>
    <row r="17" ht="22.5" customHeight="1">
      <c r="A17" s="26"/>
      <c r="B17" s="21" t="s">
        <v>39</v>
      </c>
      <c r="C17" s="22"/>
      <c r="D17" s="23"/>
      <c r="E17" s="24"/>
      <c r="F17" s="25"/>
    </row>
    <row r="18" ht="22.5" customHeight="1">
      <c r="A18" s="26"/>
      <c r="B18" s="21"/>
      <c r="C18" s="22"/>
      <c r="D18" s="23"/>
      <c r="E18" s="24"/>
      <c r="F18" s="27"/>
    </row>
    <row r="19" ht="22.5" customHeight="1">
      <c r="A19" s="26"/>
      <c r="B19" s="21"/>
      <c r="C19" s="22"/>
      <c r="D19" s="23"/>
      <c r="E19" s="24"/>
      <c r="F19" s="27"/>
    </row>
    <row r="20" ht="22.5" customHeight="1">
      <c r="A20" s="26"/>
      <c r="B20" s="21" t="s">
        <v>40</v>
      </c>
      <c r="C20" s="22"/>
      <c r="D20" s="23"/>
      <c r="E20" s="24"/>
      <c r="F20" s="27"/>
    </row>
    <row r="21" ht="22.5" customHeight="1">
      <c r="A21" s="26"/>
      <c r="B21" s="28"/>
      <c r="C21" s="22"/>
      <c r="D21" s="23"/>
      <c r="E21" s="24"/>
      <c r="F21" s="27"/>
    </row>
    <row r="22" ht="22.5" customHeight="1">
      <c r="A22" s="26"/>
      <c r="B22" s="28"/>
      <c r="C22" s="22"/>
      <c r="D22" s="23"/>
      <c r="E22" s="24"/>
      <c r="F22" s="27"/>
    </row>
    <row r="23" ht="22.5" customHeight="1">
      <c r="A23" s="26"/>
      <c r="B23" s="21"/>
      <c r="C23" s="22"/>
      <c r="D23" s="23"/>
      <c r="E23" s="24"/>
      <c r="F23" s="27"/>
    </row>
    <row r="24" ht="22.5" customHeight="1">
      <c r="A24" s="26"/>
      <c r="B24" s="21"/>
      <c r="C24" s="22"/>
      <c r="D24" s="23"/>
      <c r="E24" s="24"/>
      <c r="F24" s="27"/>
    </row>
    <row r="25" ht="22.5" customHeight="1">
      <c r="A25" s="26"/>
      <c r="B25" s="29"/>
      <c r="C25" s="22"/>
      <c r="D25" s="23"/>
      <c r="E25" s="24"/>
      <c r="F25" s="27"/>
    </row>
    <row r="26" ht="22.5" customHeight="1">
      <c r="A26" s="26"/>
      <c r="B26" s="28"/>
      <c r="C26" s="22"/>
      <c r="D26" s="23"/>
      <c r="E26" s="24"/>
      <c r="F26" s="27"/>
    </row>
    <row r="27" ht="22.5" customHeight="1">
      <c r="A27" s="26"/>
      <c r="B27" s="28" t="s">
        <v>41</v>
      </c>
      <c r="C27" s="22"/>
      <c r="D27" s="23"/>
      <c r="E27" s="24"/>
      <c r="F27" s="27"/>
    </row>
    <row r="28" ht="22.5" customHeight="1">
      <c r="A28" s="26"/>
      <c r="B28" s="28" t="s">
        <v>42</v>
      </c>
      <c r="C28" s="30"/>
      <c r="D28" s="23"/>
      <c r="E28" s="24"/>
      <c r="F28" s="27"/>
    </row>
    <row r="29" ht="22.5" customHeight="1">
      <c r="A29" s="26"/>
      <c r="B29" s="31" t="s">
        <v>43</v>
      </c>
      <c r="C29" s="32"/>
      <c r="D29" s="32"/>
      <c r="E29" s="32"/>
      <c r="F29" s="33"/>
    </row>
    <row r="30" ht="22.5" customHeight="1">
      <c r="A30" s="26"/>
      <c r="B30" s="31" t="s">
        <v>44</v>
      </c>
      <c r="C30" s="32"/>
      <c r="D30" s="32"/>
      <c r="E30" s="32"/>
      <c r="F30" s="33"/>
    </row>
    <row r="31" ht="22.5" customHeight="1">
      <c r="A31" s="26"/>
      <c r="B31" s="28"/>
      <c r="C31" s="22"/>
      <c r="D31" s="23"/>
      <c r="E31" s="24"/>
      <c r="F31" s="27"/>
    </row>
    <row r="32" ht="22.5" customHeight="1">
      <c r="A32" s="26" t="s">
        <v>45</v>
      </c>
      <c r="B32" s="28" t="s">
        <v>46</v>
      </c>
      <c r="C32" s="22" t="s">
        <v>47</v>
      </c>
      <c r="D32" s="23" t="s">
        <v>8</v>
      </c>
      <c r="E32" s="24" t="s">
        <v>9</v>
      </c>
      <c r="F32" s="27" t="s">
        <v>48</v>
      </c>
    </row>
    <row r="33" ht="22.5" customHeight="1">
      <c r="A33" s="20" t="s">
        <v>11</v>
      </c>
      <c r="B33" s="34" t="s">
        <v>49</v>
      </c>
      <c r="C33" s="22"/>
      <c r="D33" s="23"/>
      <c r="E33" s="35"/>
      <c r="F33" s="27"/>
    </row>
    <row r="34" ht="22.5" customHeight="1">
      <c r="A34" s="26">
        <v>1.0</v>
      </c>
      <c r="B34" s="36" t="s">
        <v>50</v>
      </c>
      <c r="C34" s="22" t="s">
        <v>13</v>
      </c>
      <c r="D34" s="23">
        <v>1.0</v>
      </c>
      <c r="E34" s="35"/>
      <c r="F34" s="27">
        <f t="shared" ref="F34:F35" si="1">SUM(D34*E34)</f>
        <v>0</v>
      </c>
    </row>
    <row r="35" ht="22.5" customHeight="1">
      <c r="A35" s="26">
        <v>2.0</v>
      </c>
      <c r="B35" s="36" t="s">
        <v>51</v>
      </c>
      <c r="C35" s="22" t="s">
        <v>13</v>
      </c>
      <c r="D35" s="23">
        <v>1.0</v>
      </c>
      <c r="E35" s="35"/>
      <c r="F35" s="27">
        <f t="shared" si="1"/>
        <v>0</v>
      </c>
    </row>
    <row r="36" ht="22.5" customHeight="1">
      <c r="A36" s="26"/>
      <c r="B36" s="28" t="s">
        <v>52</v>
      </c>
      <c r="C36" s="22"/>
      <c r="D36" s="23"/>
      <c r="E36" s="24"/>
      <c r="F36" s="25">
        <f>SUM(F34:F35)</f>
        <v>0</v>
      </c>
    </row>
    <row r="37" ht="22.5" customHeight="1">
      <c r="A37" s="26"/>
      <c r="B37" s="36"/>
      <c r="C37" s="22"/>
      <c r="D37" s="23"/>
      <c r="E37" s="24"/>
      <c r="F37" s="27"/>
    </row>
    <row r="38" ht="22.5" customHeight="1">
      <c r="A38" s="20" t="s">
        <v>14</v>
      </c>
      <c r="B38" s="34" t="s">
        <v>15</v>
      </c>
      <c r="C38" s="22"/>
      <c r="D38" s="23"/>
      <c r="E38" s="24"/>
      <c r="F38" s="27"/>
    </row>
    <row r="39" ht="22.5" customHeight="1">
      <c r="A39" s="26">
        <v>1.0</v>
      </c>
      <c r="B39" s="28" t="s">
        <v>53</v>
      </c>
      <c r="C39" s="22" t="s">
        <v>54</v>
      </c>
      <c r="D39" s="23">
        <v>13.0</v>
      </c>
      <c r="E39" s="24"/>
      <c r="F39" s="27">
        <f t="shared" ref="F39:F87" si="2">SUM(D39*E39)</f>
        <v>0</v>
      </c>
    </row>
    <row r="40" ht="22.5" customHeight="1">
      <c r="A40" s="26">
        <v>2.0</v>
      </c>
      <c r="B40" s="28" t="s">
        <v>55</v>
      </c>
      <c r="C40" s="22" t="s">
        <v>56</v>
      </c>
      <c r="D40" s="23">
        <v>85.0</v>
      </c>
      <c r="E40" s="35"/>
      <c r="F40" s="27">
        <f t="shared" si="2"/>
        <v>0</v>
      </c>
    </row>
    <row r="41" ht="22.5" customHeight="1">
      <c r="A41" s="26">
        <v>3.0</v>
      </c>
      <c r="B41" s="28" t="s">
        <v>57</v>
      </c>
      <c r="C41" s="22" t="s">
        <v>56</v>
      </c>
      <c r="D41" s="23">
        <v>40.0</v>
      </c>
      <c r="E41" s="35"/>
      <c r="F41" s="27">
        <f t="shared" si="2"/>
        <v>0</v>
      </c>
    </row>
    <row r="42" ht="22.5" customHeight="1">
      <c r="A42" s="26">
        <v>4.0</v>
      </c>
      <c r="B42" s="28" t="s">
        <v>58</v>
      </c>
      <c r="C42" s="22" t="s">
        <v>56</v>
      </c>
      <c r="D42" s="23">
        <v>45.0</v>
      </c>
      <c r="E42" s="35"/>
      <c r="F42" s="27">
        <f t="shared" si="2"/>
        <v>0</v>
      </c>
    </row>
    <row r="43" ht="22.5" customHeight="1">
      <c r="A43" s="26">
        <v>5.0</v>
      </c>
      <c r="B43" s="36" t="s">
        <v>59</v>
      </c>
      <c r="C43" s="22" t="s">
        <v>56</v>
      </c>
      <c r="D43" s="23">
        <v>2.0</v>
      </c>
      <c r="E43" s="35"/>
      <c r="F43" s="27">
        <f t="shared" si="2"/>
        <v>0</v>
      </c>
    </row>
    <row r="44" ht="22.5" customHeight="1">
      <c r="A44" s="26">
        <v>6.0</v>
      </c>
      <c r="B44" s="36" t="s">
        <v>60</v>
      </c>
      <c r="C44" s="22" t="s">
        <v>56</v>
      </c>
      <c r="D44" s="23">
        <v>2.0</v>
      </c>
      <c r="E44" s="35"/>
      <c r="F44" s="27">
        <f t="shared" si="2"/>
        <v>0</v>
      </c>
    </row>
    <row r="45" ht="22.5" customHeight="1">
      <c r="A45" s="26">
        <v>7.0</v>
      </c>
      <c r="B45" s="28" t="s">
        <v>61</v>
      </c>
      <c r="C45" s="22" t="s">
        <v>56</v>
      </c>
      <c r="D45" s="23">
        <v>3.0</v>
      </c>
      <c r="E45" s="35"/>
      <c r="F45" s="27">
        <f t="shared" si="2"/>
        <v>0</v>
      </c>
    </row>
    <row r="46" ht="22.5" customHeight="1">
      <c r="A46" s="26">
        <v>8.0</v>
      </c>
      <c r="B46" s="28" t="s">
        <v>62</v>
      </c>
      <c r="C46" s="22" t="s">
        <v>56</v>
      </c>
      <c r="D46" s="23">
        <v>5.0</v>
      </c>
      <c r="E46" s="35"/>
      <c r="F46" s="27">
        <f t="shared" si="2"/>
        <v>0</v>
      </c>
    </row>
    <row r="47" ht="22.5" customHeight="1">
      <c r="A47" s="26">
        <v>9.0</v>
      </c>
      <c r="B47" s="28" t="s">
        <v>63</v>
      </c>
      <c r="C47" s="22" t="s">
        <v>56</v>
      </c>
      <c r="D47" s="23">
        <v>13.0</v>
      </c>
      <c r="E47" s="35"/>
      <c r="F47" s="27">
        <f t="shared" si="2"/>
        <v>0</v>
      </c>
    </row>
    <row r="48" ht="22.5" customHeight="1">
      <c r="A48" s="26">
        <v>10.0</v>
      </c>
      <c r="B48" s="28" t="s">
        <v>64</v>
      </c>
      <c r="C48" s="22" t="s">
        <v>56</v>
      </c>
      <c r="D48" s="23">
        <v>3.0</v>
      </c>
      <c r="E48" s="27"/>
      <c r="F48" s="27">
        <f t="shared" si="2"/>
        <v>0</v>
      </c>
    </row>
    <row r="49" ht="22.5" customHeight="1">
      <c r="A49" s="26">
        <v>11.0</v>
      </c>
      <c r="B49" s="28" t="s">
        <v>65</v>
      </c>
      <c r="C49" s="22" t="s">
        <v>66</v>
      </c>
      <c r="D49" s="23">
        <v>4.0</v>
      </c>
      <c r="E49" s="37"/>
      <c r="F49" s="27">
        <f t="shared" si="2"/>
        <v>0</v>
      </c>
    </row>
    <row r="50" ht="22.5" customHeight="1">
      <c r="A50" s="26">
        <v>12.0</v>
      </c>
      <c r="B50" s="28" t="s">
        <v>67</v>
      </c>
      <c r="C50" s="22" t="s">
        <v>56</v>
      </c>
      <c r="D50" s="23">
        <v>3.0</v>
      </c>
      <c r="E50" s="27"/>
      <c r="F50" s="27">
        <f t="shared" si="2"/>
        <v>0</v>
      </c>
    </row>
    <row r="51" ht="22.5" customHeight="1">
      <c r="A51" s="26">
        <v>13.0</v>
      </c>
      <c r="B51" s="28" t="s">
        <v>68</v>
      </c>
      <c r="C51" s="22" t="s">
        <v>56</v>
      </c>
      <c r="D51" s="23">
        <v>2.0</v>
      </c>
      <c r="E51" s="27"/>
      <c r="F51" s="27">
        <f t="shared" si="2"/>
        <v>0</v>
      </c>
    </row>
    <row r="52" ht="22.5" customHeight="1">
      <c r="A52" s="26">
        <v>14.0</v>
      </c>
      <c r="B52" s="28" t="s">
        <v>69</v>
      </c>
      <c r="C52" s="22" t="s">
        <v>70</v>
      </c>
      <c r="D52" s="23">
        <v>2.0</v>
      </c>
      <c r="E52" s="27"/>
      <c r="F52" s="27">
        <f t="shared" si="2"/>
        <v>0</v>
      </c>
    </row>
    <row r="53" ht="22.5" customHeight="1">
      <c r="A53" s="26">
        <v>15.0</v>
      </c>
      <c r="B53" s="28" t="s">
        <v>71</v>
      </c>
      <c r="C53" s="22" t="s">
        <v>72</v>
      </c>
      <c r="D53" s="23">
        <v>2.0</v>
      </c>
      <c r="E53" s="27"/>
      <c r="F53" s="27">
        <f t="shared" si="2"/>
        <v>0</v>
      </c>
    </row>
    <row r="54" ht="22.5" customHeight="1">
      <c r="A54" s="26">
        <v>16.0</v>
      </c>
      <c r="B54" s="28" t="s">
        <v>73</v>
      </c>
      <c r="C54" s="22" t="s">
        <v>72</v>
      </c>
      <c r="D54" s="23">
        <v>1.0</v>
      </c>
      <c r="E54" s="27"/>
      <c r="F54" s="27">
        <f t="shared" si="2"/>
        <v>0</v>
      </c>
    </row>
    <row r="55" ht="22.5" customHeight="1">
      <c r="A55" s="26">
        <v>17.0</v>
      </c>
      <c r="B55" s="28" t="s">
        <v>74</v>
      </c>
      <c r="C55" s="22" t="s">
        <v>72</v>
      </c>
      <c r="D55" s="23">
        <v>2.0</v>
      </c>
      <c r="E55" s="27"/>
      <c r="F55" s="27">
        <f t="shared" si="2"/>
        <v>0</v>
      </c>
    </row>
    <row r="56" ht="22.5" customHeight="1">
      <c r="A56" s="26">
        <v>18.0</v>
      </c>
      <c r="B56" s="28" t="s">
        <v>75</v>
      </c>
      <c r="C56" s="22" t="s">
        <v>72</v>
      </c>
      <c r="D56" s="23">
        <v>2.0</v>
      </c>
      <c r="E56" s="27"/>
      <c r="F56" s="27">
        <f t="shared" si="2"/>
        <v>0</v>
      </c>
    </row>
    <row r="57" ht="22.5" customHeight="1">
      <c r="A57" s="26">
        <v>19.0</v>
      </c>
      <c r="B57" s="28" t="s">
        <v>76</v>
      </c>
      <c r="C57" s="22" t="s">
        <v>72</v>
      </c>
      <c r="D57" s="23">
        <v>1.0</v>
      </c>
      <c r="E57" s="27"/>
      <c r="F57" s="27">
        <f t="shared" si="2"/>
        <v>0</v>
      </c>
    </row>
    <row r="58" ht="22.5" customHeight="1">
      <c r="A58" s="26">
        <v>20.0</v>
      </c>
      <c r="B58" s="28" t="s">
        <v>77</v>
      </c>
      <c r="C58" s="22" t="s">
        <v>78</v>
      </c>
      <c r="D58" s="23">
        <v>2.0</v>
      </c>
      <c r="E58" s="37"/>
      <c r="F58" s="27">
        <f t="shared" si="2"/>
        <v>0</v>
      </c>
    </row>
    <row r="59" ht="22.5" customHeight="1">
      <c r="A59" s="26">
        <v>21.0</v>
      </c>
      <c r="B59" s="28" t="s">
        <v>79</v>
      </c>
      <c r="C59" s="22" t="s">
        <v>80</v>
      </c>
      <c r="D59" s="23">
        <v>1.0</v>
      </c>
      <c r="E59" s="37"/>
      <c r="F59" s="27">
        <f t="shared" si="2"/>
        <v>0</v>
      </c>
    </row>
    <row r="60" ht="22.5" customHeight="1">
      <c r="A60" s="26">
        <v>22.0</v>
      </c>
      <c r="B60" s="28" t="s">
        <v>81</v>
      </c>
      <c r="C60" s="22" t="s">
        <v>56</v>
      </c>
      <c r="D60" s="23">
        <v>30.0</v>
      </c>
      <c r="E60" s="37"/>
      <c r="F60" s="27">
        <f t="shared" si="2"/>
        <v>0</v>
      </c>
    </row>
    <row r="61" ht="22.5" customHeight="1">
      <c r="A61" s="26">
        <v>23.0</v>
      </c>
      <c r="B61" s="28" t="s">
        <v>82</v>
      </c>
      <c r="C61" s="22" t="s">
        <v>56</v>
      </c>
      <c r="D61" s="23">
        <v>4.0</v>
      </c>
      <c r="E61" s="37"/>
      <c r="F61" s="27">
        <f t="shared" si="2"/>
        <v>0</v>
      </c>
    </row>
    <row r="62" ht="22.5" customHeight="1">
      <c r="A62" s="26">
        <v>24.0</v>
      </c>
      <c r="B62" s="28" t="s">
        <v>83</v>
      </c>
      <c r="C62" s="22" t="s">
        <v>56</v>
      </c>
      <c r="D62" s="23">
        <v>9.0</v>
      </c>
      <c r="E62" s="37"/>
      <c r="F62" s="27">
        <f t="shared" si="2"/>
        <v>0</v>
      </c>
    </row>
    <row r="63" ht="22.5" customHeight="1">
      <c r="A63" s="26">
        <v>25.0</v>
      </c>
      <c r="B63" s="28" t="s">
        <v>84</v>
      </c>
      <c r="C63" s="22" t="s">
        <v>56</v>
      </c>
      <c r="D63" s="23">
        <v>1.0</v>
      </c>
      <c r="E63" s="37"/>
      <c r="F63" s="27">
        <f t="shared" si="2"/>
        <v>0</v>
      </c>
    </row>
    <row r="64" ht="22.5" customHeight="1">
      <c r="A64" s="26">
        <v>26.0</v>
      </c>
      <c r="B64" s="28" t="s">
        <v>85</v>
      </c>
      <c r="C64" s="22" t="s">
        <v>86</v>
      </c>
      <c r="D64" s="23">
        <v>2.0</v>
      </c>
      <c r="E64" s="37"/>
      <c r="F64" s="27">
        <f t="shared" si="2"/>
        <v>0</v>
      </c>
    </row>
    <row r="65" ht="22.5" customHeight="1">
      <c r="A65" s="26">
        <v>27.0</v>
      </c>
      <c r="B65" s="36" t="s">
        <v>87</v>
      </c>
      <c r="C65" s="22" t="s">
        <v>13</v>
      </c>
      <c r="D65" s="23">
        <v>1.0</v>
      </c>
      <c r="E65" s="35"/>
      <c r="F65" s="27">
        <f t="shared" si="2"/>
        <v>0</v>
      </c>
    </row>
    <row r="66" ht="22.5" customHeight="1">
      <c r="A66" s="26">
        <v>28.0</v>
      </c>
      <c r="B66" s="36" t="s">
        <v>88</v>
      </c>
      <c r="C66" s="22" t="s">
        <v>13</v>
      </c>
      <c r="D66" s="23">
        <v>1.0</v>
      </c>
      <c r="E66" s="35"/>
      <c r="F66" s="27">
        <f t="shared" si="2"/>
        <v>0</v>
      </c>
    </row>
    <row r="67" ht="22.5" customHeight="1">
      <c r="A67" s="26">
        <v>29.0</v>
      </c>
      <c r="B67" s="38" t="s">
        <v>89</v>
      </c>
      <c r="C67" s="39" t="s">
        <v>90</v>
      </c>
      <c r="D67" s="40">
        <v>48.0</v>
      </c>
      <c r="E67" s="27"/>
      <c r="F67" s="24">
        <f t="shared" si="2"/>
        <v>0</v>
      </c>
    </row>
    <row r="68" ht="22.5" customHeight="1">
      <c r="A68" s="26">
        <v>30.0</v>
      </c>
      <c r="B68" s="38" t="s">
        <v>91</v>
      </c>
      <c r="C68" s="39" t="s">
        <v>90</v>
      </c>
      <c r="D68" s="40">
        <v>20.0</v>
      </c>
      <c r="E68" s="27"/>
      <c r="F68" s="24">
        <f t="shared" si="2"/>
        <v>0</v>
      </c>
    </row>
    <row r="69" ht="22.5" customHeight="1">
      <c r="A69" s="26">
        <v>31.0</v>
      </c>
      <c r="B69" s="38" t="s">
        <v>92</v>
      </c>
      <c r="C69" s="39" t="s">
        <v>66</v>
      </c>
      <c r="D69" s="40">
        <v>10.0</v>
      </c>
      <c r="E69" s="27"/>
      <c r="F69" s="24">
        <f t="shared" si="2"/>
        <v>0</v>
      </c>
    </row>
    <row r="70" ht="22.5" customHeight="1">
      <c r="A70" s="26">
        <v>32.0</v>
      </c>
      <c r="B70" s="38" t="s">
        <v>93</v>
      </c>
      <c r="C70" s="39" t="s">
        <v>90</v>
      </c>
      <c r="D70" s="40">
        <v>44.0</v>
      </c>
      <c r="E70" s="27"/>
      <c r="F70" s="24">
        <f t="shared" si="2"/>
        <v>0</v>
      </c>
    </row>
    <row r="71" ht="22.5" customHeight="1">
      <c r="A71" s="26">
        <v>33.0</v>
      </c>
      <c r="B71" s="38" t="s">
        <v>94</v>
      </c>
      <c r="C71" s="39" t="s">
        <v>90</v>
      </c>
      <c r="D71" s="40">
        <v>1.0</v>
      </c>
      <c r="E71" s="27"/>
      <c r="F71" s="24">
        <f t="shared" si="2"/>
        <v>0</v>
      </c>
    </row>
    <row r="72" ht="22.5" customHeight="1">
      <c r="A72" s="26">
        <v>34.0</v>
      </c>
      <c r="B72" s="38" t="s">
        <v>95</v>
      </c>
      <c r="C72" s="39" t="s">
        <v>37</v>
      </c>
      <c r="D72" s="40">
        <v>10.0</v>
      </c>
      <c r="E72" s="27"/>
      <c r="F72" s="24">
        <f t="shared" si="2"/>
        <v>0</v>
      </c>
    </row>
    <row r="73" ht="22.5" customHeight="1">
      <c r="A73" s="26">
        <v>35.0</v>
      </c>
      <c r="B73" s="38" t="s">
        <v>96</v>
      </c>
      <c r="C73" s="39" t="s">
        <v>90</v>
      </c>
      <c r="D73" s="40">
        <v>8.0</v>
      </c>
      <c r="E73" s="27"/>
      <c r="F73" s="24">
        <f t="shared" si="2"/>
        <v>0</v>
      </c>
    </row>
    <row r="74" ht="22.5" customHeight="1">
      <c r="A74" s="26">
        <v>36.0</v>
      </c>
      <c r="B74" s="38" t="s">
        <v>97</v>
      </c>
      <c r="C74" s="39" t="s">
        <v>90</v>
      </c>
      <c r="D74" s="40">
        <v>1.0</v>
      </c>
      <c r="E74" s="27"/>
      <c r="F74" s="24">
        <f t="shared" si="2"/>
        <v>0</v>
      </c>
    </row>
    <row r="75" ht="22.5" customHeight="1">
      <c r="A75" s="26">
        <v>37.0</v>
      </c>
      <c r="B75" s="38" t="s">
        <v>98</v>
      </c>
      <c r="C75" s="39" t="s">
        <v>90</v>
      </c>
      <c r="D75" s="40">
        <v>2.0</v>
      </c>
      <c r="E75" s="27"/>
      <c r="F75" s="24">
        <f t="shared" si="2"/>
        <v>0</v>
      </c>
    </row>
    <row r="76" ht="22.5" customHeight="1">
      <c r="A76" s="26">
        <v>38.0</v>
      </c>
      <c r="B76" s="38" t="s">
        <v>99</v>
      </c>
      <c r="C76" s="39" t="s">
        <v>90</v>
      </c>
      <c r="D76" s="40">
        <v>2.0</v>
      </c>
      <c r="E76" s="27"/>
      <c r="F76" s="24">
        <f t="shared" si="2"/>
        <v>0</v>
      </c>
    </row>
    <row r="77" ht="22.5" customHeight="1">
      <c r="A77" s="26">
        <v>39.0</v>
      </c>
      <c r="B77" s="38" t="s">
        <v>100</v>
      </c>
      <c r="C77" s="39" t="s">
        <v>66</v>
      </c>
      <c r="D77" s="40">
        <v>1.0</v>
      </c>
      <c r="E77" s="27"/>
      <c r="F77" s="24">
        <f t="shared" si="2"/>
        <v>0</v>
      </c>
    </row>
    <row r="78" ht="22.5" customHeight="1">
      <c r="A78" s="26">
        <v>40.0</v>
      </c>
      <c r="B78" s="38" t="s">
        <v>101</v>
      </c>
      <c r="C78" s="39" t="s">
        <v>66</v>
      </c>
      <c r="D78" s="40">
        <v>1.0</v>
      </c>
      <c r="E78" s="27"/>
      <c r="F78" s="24">
        <f t="shared" si="2"/>
        <v>0</v>
      </c>
    </row>
    <row r="79" ht="22.5" customHeight="1">
      <c r="A79" s="26">
        <v>41.0</v>
      </c>
      <c r="B79" s="38" t="s">
        <v>102</v>
      </c>
      <c r="C79" s="39" t="s">
        <v>103</v>
      </c>
      <c r="D79" s="40">
        <v>8.0</v>
      </c>
      <c r="E79" s="27"/>
      <c r="F79" s="24">
        <f t="shared" si="2"/>
        <v>0</v>
      </c>
    </row>
    <row r="80" ht="22.5" customHeight="1">
      <c r="A80" s="26">
        <v>42.0</v>
      </c>
      <c r="B80" s="36" t="s">
        <v>104</v>
      </c>
      <c r="C80" s="22" t="s">
        <v>13</v>
      </c>
      <c r="D80" s="23">
        <v>1.0</v>
      </c>
      <c r="E80" s="35"/>
      <c r="F80" s="27">
        <f t="shared" si="2"/>
        <v>0</v>
      </c>
    </row>
    <row r="81" ht="22.5" customHeight="1">
      <c r="A81" s="26">
        <v>43.0</v>
      </c>
      <c r="B81" s="28" t="s">
        <v>105</v>
      </c>
      <c r="C81" s="22" t="s">
        <v>70</v>
      </c>
      <c r="D81" s="37">
        <v>2.0</v>
      </c>
      <c r="E81" s="35"/>
      <c r="F81" s="27">
        <f t="shared" si="2"/>
        <v>0</v>
      </c>
    </row>
    <row r="82" ht="22.5" customHeight="1">
      <c r="A82" s="26">
        <v>44.0</v>
      </c>
      <c r="B82" s="28" t="s">
        <v>106</v>
      </c>
      <c r="C82" s="22" t="s">
        <v>70</v>
      </c>
      <c r="D82" s="37">
        <v>1.0</v>
      </c>
      <c r="E82" s="35"/>
      <c r="F82" s="27">
        <f t="shared" si="2"/>
        <v>0</v>
      </c>
    </row>
    <row r="83" ht="22.5" customHeight="1">
      <c r="A83" s="26">
        <v>45.0</v>
      </c>
      <c r="B83" s="28" t="s">
        <v>107</v>
      </c>
      <c r="C83" s="22" t="s">
        <v>66</v>
      </c>
      <c r="D83" s="37">
        <v>1.0</v>
      </c>
      <c r="E83" s="35"/>
      <c r="F83" s="27">
        <f t="shared" si="2"/>
        <v>0</v>
      </c>
    </row>
    <row r="84" ht="22.5" customHeight="1">
      <c r="A84" s="26">
        <v>46.0</v>
      </c>
      <c r="B84" s="28" t="s">
        <v>108</v>
      </c>
      <c r="C84" s="22" t="s">
        <v>66</v>
      </c>
      <c r="D84" s="37">
        <v>1.0</v>
      </c>
      <c r="E84" s="35"/>
      <c r="F84" s="27">
        <f t="shared" si="2"/>
        <v>0</v>
      </c>
    </row>
    <row r="85" ht="22.5" customHeight="1">
      <c r="A85" s="26">
        <v>47.0</v>
      </c>
      <c r="B85" s="41" t="s">
        <v>109</v>
      </c>
      <c r="C85" s="42" t="s">
        <v>66</v>
      </c>
      <c r="D85" s="43">
        <v>20.0</v>
      </c>
      <c r="E85" s="44"/>
      <c r="F85" s="45">
        <f t="shared" si="2"/>
        <v>0</v>
      </c>
    </row>
    <row r="86" ht="22.5" customHeight="1">
      <c r="A86" s="26">
        <v>48.0</v>
      </c>
      <c r="B86" s="38" t="s">
        <v>110</v>
      </c>
      <c r="C86" s="22" t="s">
        <v>66</v>
      </c>
      <c r="D86" s="40">
        <v>1.0</v>
      </c>
      <c r="E86" s="27"/>
      <c r="F86" s="24">
        <f t="shared" si="2"/>
        <v>0</v>
      </c>
    </row>
    <row r="87" ht="22.5" customHeight="1">
      <c r="A87" s="26">
        <v>49.0</v>
      </c>
      <c r="B87" s="38" t="s">
        <v>111</v>
      </c>
      <c r="C87" s="22" t="s">
        <v>13</v>
      </c>
      <c r="D87" s="40">
        <v>1.0</v>
      </c>
      <c r="E87" s="27"/>
      <c r="F87" s="24">
        <f t="shared" si="2"/>
        <v>0</v>
      </c>
    </row>
    <row r="88" ht="22.5" customHeight="1">
      <c r="A88" s="26"/>
      <c r="B88" s="28" t="s">
        <v>52</v>
      </c>
      <c r="C88" s="22"/>
      <c r="D88" s="23"/>
      <c r="E88" s="46"/>
      <c r="F88" s="25">
        <f>SUM(F38:F87)</f>
        <v>0</v>
      </c>
    </row>
    <row r="89" ht="22.5" customHeight="1">
      <c r="A89" s="26"/>
      <c r="B89" s="28"/>
      <c r="C89" s="22"/>
      <c r="D89" s="23"/>
      <c r="E89" s="46"/>
      <c r="F89" s="25"/>
    </row>
    <row r="90" ht="22.5" customHeight="1">
      <c r="A90" s="20" t="s">
        <v>16</v>
      </c>
      <c r="B90" s="34" t="s">
        <v>112</v>
      </c>
      <c r="C90" s="22"/>
      <c r="D90" s="23"/>
      <c r="E90" s="46"/>
      <c r="F90" s="25"/>
    </row>
    <row r="91" ht="22.5" customHeight="1">
      <c r="A91" s="22" t="s">
        <v>113</v>
      </c>
      <c r="B91" s="28" t="s">
        <v>114</v>
      </c>
      <c r="C91" s="22"/>
      <c r="D91" s="47"/>
      <c r="E91" s="35"/>
      <c r="F91" s="48"/>
    </row>
    <row r="92" ht="22.5" customHeight="1">
      <c r="A92" s="22" t="s">
        <v>115</v>
      </c>
      <c r="B92" s="28" t="s">
        <v>116</v>
      </c>
      <c r="C92" s="22"/>
      <c r="D92" s="23"/>
      <c r="E92" s="35"/>
      <c r="F92" s="27"/>
    </row>
    <row r="93" ht="22.5" customHeight="1">
      <c r="A93" s="22"/>
      <c r="B93" s="28" t="s">
        <v>117</v>
      </c>
      <c r="C93" s="22"/>
      <c r="D93" s="23"/>
      <c r="E93" s="35"/>
      <c r="F93" s="27"/>
    </row>
    <row r="94" ht="22.5" customHeight="1">
      <c r="A94" s="22">
        <v>1.0</v>
      </c>
      <c r="B94" s="28" t="s">
        <v>118</v>
      </c>
      <c r="C94" s="22" t="s">
        <v>70</v>
      </c>
      <c r="D94" s="23">
        <v>2.0</v>
      </c>
      <c r="E94" s="35"/>
      <c r="F94" s="24">
        <f t="shared" ref="F94:F114" si="3">SUM(D94*E94)</f>
        <v>0</v>
      </c>
    </row>
    <row r="95" ht="22.5" customHeight="1">
      <c r="A95" s="22"/>
      <c r="B95" s="28" t="s">
        <v>119</v>
      </c>
      <c r="C95" s="22"/>
      <c r="D95" s="23"/>
      <c r="E95" s="35"/>
      <c r="F95" s="24">
        <f t="shared" si="3"/>
        <v>0</v>
      </c>
    </row>
    <row r="96" ht="22.5" customHeight="1">
      <c r="A96" s="22">
        <v>1.0</v>
      </c>
      <c r="B96" s="28" t="s">
        <v>120</v>
      </c>
      <c r="C96" s="22" t="s">
        <v>70</v>
      </c>
      <c r="D96" s="23">
        <v>1.0</v>
      </c>
      <c r="E96" s="35"/>
      <c r="F96" s="24">
        <f t="shared" si="3"/>
        <v>0</v>
      </c>
    </row>
    <row r="97" ht="22.5" customHeight="1">
      <c r="A97" s="22">
        <v>2.0</v>
      </c>
      <c r="B97" s="28" t="s">
        <v>121</v>
      </c>
      <c r="C97" s="22" t="s">
        <v>66</v>
      </c>
      <c r="D97" s="23">
        <v>1.0</v>
      </c>
      <c r="E97" s="35"/>
      <c r="F97" s="24">
        <f t="shared" si="3"/>
        <v>0</v>
      </c>
    </row>
    <row r="98" ht="22.5" customHeight="1">
      <c r="A98" s="22">
        <v>3.0</v>
      </c>
      <c r="B98" s="28" t="s">
        <v>122</v>
      </c>
      <c r="C98" s="22" t="s">
        <v>80</v>
      </c>
      <c r="D98" s="23">
        <v>1.0</v>
      </c>
      <c r="E98" s="35"/>
      <c r="F98" s="24">
        <f t="shared" si="3"/>
        <v>0</v>
      </c>
    </row>
    <row r="99" ht="22.5" customHeight="1">
      <c r="A99" s="22"/>
      <c r="B99" s="28" t="s">
        <v>117</v>
      </c>
      <c r="C99" s="22"/>
      <c r="D99" s="23"/>
      <c r="E99" s="35"/>
      <c r="F99" s="24">
        <f t="shared" si="3"/>
        <v>0</v>
      </c>
    </row>
    <row r="100" ht="22.5" customHeight="1">
      <c r="A100" s="22">
        <v>1.0</v>
      </c>
      <c r="B100" s="28" t="s">
        <v>123</v>
      </c>
      <c r="C100" s="22" t="s">
        <v>70</v>
      </c>
      <c r="D100" s="23">
        <v>1.0</v>
      </c>
      <c r="E100" s="35"/>
      <c r="F100" s="24">
        <f t="shared" si="3"/>
        <v>0</v>
      </c>
    </row>
    <row r="101" ht="22.5" customHeight="1">
      <c r="A101" s="22">
        <v>2.0</v>
      </c>
      <c r="B101" s="28" t="s">
        <v>124</v>
      </c>
      <c r="C101" s="22" t="s">
        <v>70</v>
      </c>
      <c r="D101" s="23">
        <v>1.0</v>
      </c>
      <c r="E101" s="35"/>
      <c r="F101" s="24">
        <f t="shared" si="3"/>
        <v>0</v>
      </c>
    </row>
    <row r="102" ht="22.5" customHeight="1">
      <c r="A102" s="22">
        <v>3.0</v>
      </c>
      <c r="B102" s="28" t="s">
        <v>125</v>
      </c>
      <c r="C102" s="22" t="s">
        <v>70</v>
      </c>
      <c r="D102" s="23">
        <v>1.0</v>
      </c>
      <c r="E102" s="35"/>
      <c r="F102" s="24">
        <f t="shared" si="3"/>
        <v>0</v>
      </c>
    </row>
    <row r="103" ht="22.5" customHeight="1">
      <c r="A103" s="22"/>
      <c r="B103" s="28" t="s">
        <v>119</v>
      </c>
      <c r="C103" s="22"/>
      <c r="D103" s="23"/>
      <c r="E103" s="35"/>
      <c r="F103" s="24">
        <f t="shared" si="3"/>
        <v>0</v>
      </c>
    </row>
    <row r="104" ht="22.5" customHeight="1">
      <c r="A104" s="22">
        <v>1.0</v>
      </c>
      <c r="B104" s="28" t="s">
        <v>126</v>
      </c>
      <c r="C104" s="22" t="s">
        <v>70</v>
      </c>
      <c r="D104" s="23">
        <v>1.0</v>
      </c>
      <c r="E104" s="35"/>
      <c r="F104" s="24">
        <f t="shared" si="3"/>
        <v>0</v>
      </c>
    </row>
    <row r="105" ht="22.5" customHeight="1">
      <c r="A105" s="22">
        <v>2.0</v>
      </c>
      <c r="B105" s="28" t="s">
        <v>121</v>
      </c>
      <c r="C105" s="22" t="s">
        <v>66</v>
      </c>
      <c r="D105" s="23">
        <v>1.0</v>
      </c>
      <c r="E105" s="35"/>
      <c r="F105" s="24">
        <f t="shared" si="3"/>
        <v>0</v>
      </c>
    </row>
    <row r="106" ht="22.5" customHeight="1">
      <c r="A106" s="22">
        <v>3.0</v>
      </c>
      <c r="B106" s="28" t="s">
        <v>122</v>
      </c>
      <c r="C106" s="22" t="s">
        <v>70</v>
      </c>
      <c r="D106" s="23">
        <v>1.0</v>
      </c>
      <c r="E106" s="35"/>
      <c r="F106" s="24">
        <f t="shared" si="3"/>
        <v>0</v>
      </c>
    </row>
    <row r="107" ht="22.5" customHeight="1">
      <c r="A107" s="22">
        <v>4.0</v>
      </c>
      <c r="B107" s="28" t="s">
        <v>127</v>
      </c>
      <c r="C107" s="22" t="s">
        <v>80</v>
      </c>
      <c r="D107" s="23">
        <v>2.0</v>
      </c>
      <c r="E107" s="35"/>
      <c r="F107" s="24">
        <f t="shared" si="3"/>
        <v>0</v>
      </c>
    </row>
    <row r="108" ht="22.5" customHeight="1">
      <c r="A108" s="22" t="s">
        <v>128</v>
      </c>
      <c r="B108" s="28" t="s">
        <v>129</v>
      </c>
      <c r="C108" s="22" t="s">
        <v>70</v>
      </c>
      <c r="D108" s="23">
        <v>2.0</v>
      </c>
      <c r="E108" s="35"/>
      <c r="F108" s="24">
        <f t="shared" si="3"/>
        <v>0</v>
      </c>
    </row>
    <row r="109" ht="22.5" customHeight="1">
      <c r="A109" s="22" t="s">
        <v>130</v>
      </c>
      <c r="B109" s="28" t="s">
        <v>131</v>
      </c>
      <c r="C109" s="49"/>
      <c r="D109" s="50"/>
      <c r="E109" s="35"/>
      <c r="F109" s="24">
        <f t="shared" si="3"/>
        <v>0</v>
      </c>
    </row>
    <row r="110" ht="22.5" customHeight="1">
      <c r="A110" s="22">
        <v>1.0</v>
      </c>
      <c r="B110" s="28" t="s">
        <v>132</v>
      </c>
      <c r="C110" s="22" t="s">
        <v>70</v>
      </c>
      <c r="D110" s="23">
        <v>1.0</v>
      </c>
      <c r="E110" s="35"/>
      <c r="F110" s="24">
        <f t="shared" si="3"/>
        <v>0</v>
      </c>
    </row>
    <row r="111" ht="22.5" customHeight="1">
      <c r="A111" s="22">
        <v>2.0</v>
      </c>
      <c r="B111" s="28" t="s">
        <v>133</v>
      </c>
      <c r="C111" s="22" t="s">
        <v>134</v>
      </c>
      <c r="D111" s="23">
        <v>12.0</v>
      </c>
      <c r="E111" s="35"/>
      <c r="F111" s="24">
        <f t="shared" si="3"/>
        <v>0</v>
      </c>
    </row>
    <row r="112" ht="22.5" customHeight="1">
      <c r="A112" s="22">
        <v>3.0</v>
      </c>
      <c r="B112" s="28" t="s">
        <v>135</v>
      </c>
      <c r="C112" s="22" t="s">
        <v>136</v>
      </c>
      <c r="D112" s="23">
        <v>2.0</v>
      </c>
      <c r="E112" s="35"/>
      <c r="F112" s="24">
        <f t="shared" si="3"/>
        <v>0</v>
      </c>
    </row>
    <row r="113" ht="22.5" customHeight="1">
      <c r="A113" s="22">
        <v>4.0</v>
      </c>
      <c r="B113" s="28" t="s">
        <v>137</v>
      </c>
      <c r="C113" s="22" t="s">
        <v>136</v>
      </c>
      <c r="D113" s="23">
        <v>4.0</v>
      </c>
      <c r="E113" s="35"/>
      <c r="F113" s="24">
        <f t="shared" si="3"/>
        <v>0</v>
      </c>
    </row>
    <row r="114" ht="22.5" customHeight="1">
      <c r="A114" s="22">
        <v>5.0</v>
      </c>
      <c r="B114" s="28" t="s">
        <v>138</v>
      </c>
      <c r="C114" s="22" t="s">
        <v>80</v>
      </c>
      <c r="D114" s="23">
        <v>2.0</v>
      </c>
      <c r="E114" s="35"/>
      <c r="F114" s="24">
        <f t="shared" si="3"/>
        <v>0</v>
      </c>
    </row>
    <row r="115" ht="22.5" customHeight="1">
      <c r="A115" s="22" t="s">
        <v>139</v>
      </c>
      <c r="B115" s="28" t="s">
        <v>140</v>
      </c>
      <c r="C115" s="22"/>
      <c r="D115" s="23" t="s">
        <v>141</v>
      </c>
      <c r="E115" s="35"/>
      <c r="F115" s="24"/>
    </row>
    <row r="116" ht="22.5" customHeight="1">
      <c r="A116" s="22">
        <v>1.0</v>
      </c>
      <c r="B116" s="28" t="s">
        <v>142</v>
      </c>
      <c r="C116" s="22" t="s">
        <v>13</v>
      </c>
      <c r="D116" s="23">
        <v>1.0</v>
      </c>
      <c r="E116" s="35"/>
      <c r="F116" s="24">
        <f t="shared" ref="F116:F122" si="4">SUM(D116*E116)</f>
        <v>0</v>
      </c>
    </row>
    <row r="117" ht="22.5" customHeight="1">
      <c r="A117" s="22">
        <v>2.0</v>
      </c>
      <c r="B117" s="28" t="s">
        <v>143</v>
      </c>
      <c r="C117" s="22" t="s">
        <v>13</v>
      </c>
      <c r="D117" s="23">
        <v>1.0</v>
      </c>
      <c r="E117" s="35"/>
      <c r="F117" s="24">
        <f t="shared" si="4"/>
        <v>0</v>
      </c>
    </row>
    <row r="118" ht="22.5" customHeight="1">
      <c r="A118" s="22">
        <v>3.0</v>
      </c>
      <c r="B118" s="28" t="s">
        <v>144</v>
      </c>
      <c r="C118" s="22" t="s">
        <v>13</v>
      </c>
      <c r="D118" s="23">
        <v>1.0</v>
      </c>
      <c r="E118" s="35"/>
      <c r="F118" s="24">
        <f t="shared" si="4"/>
        <v>0</v>
      </c>
    </row>
    <row r="119" ht="22.5" customHeight="1">
      <c r="A119" s="22">
        <v>4.0</v>
      </c>
      <c r="B119" s="28" t="s">
        <v>145</v>
      </c>
      <c r="C119" s="22" t="s">
        <v>13</v>
      </c>
      <c r="D119" s="23">
        <v>1.0</v>
      </c>
      <c r="E119" s="35"/>
      <c r="F119" s="24">
        <f t="shared" si="4"/>
        <v>0</v>
      </c>
    </row>
    <row r="120" ht="22.5" customHeight="1">
      <c r="A120" s="22">
        <v>5.0</v>
      </c>
      <c r="B120" s="28" t="s">
        <v>146</v>
      </c>
      <c r="C120" s="22" t="s">
        <v>13</v>
      </c>
      <c r="D120" s="23">
        <v>1.0</v>
      </c>
      <c r="E120" s="35"/>
      <c r="F120" s="24">
        <f t="shared" si="4"/>
        <v>0</v>
      </c>
    </row>
    <row r="121" ht="22.5" customHeight="1">
      <c r="A121" s="22">
        <v>6.0</v>
      </c>
      <c r="B121" s="28" t="s">
        <v>147</v>
      </c>
      <c r="C121" s="22" t="s">
        <v>13</v>
      </c>
      <c r="D121" s="23">
        <v>1.0</v>
      </c>
      <c r="E121" s="35"/>
      <c r="F121" s="24">
        <f t="shared" si="4"/>
        <v>0</v>
      </c>
    </row>
    <row r="122" ht="22.5" customHeight="1">
      <c r="A122" s="22">
        <v>7.0</v>
      </c>
      <c r="B122" s="28" t="s">
        <v>148</v>
      </c>
      <c r="C122" s="22" t="s">
        <v>13</v>
      </c>
      <c r="D122" s="23">
        <v>1.0</v>
      </c>
      <c r="E122" s="35"/>
      <c r="F122" s="24">
        <f t="shared" si="4"/>
        <v>0</v>
      </c>
    </row>
    <row r="123" ht="22.5" customHeight="1">
      <c r="A123" s="26"/>
      <c r="B123" s="28" t="s">
        <v>52</v>
      </c>
      <c r="C123" s="22"/>
      <c r="D123" s="23"/>
      <c r="E123" s="46"/>
      <c r="F123" s="25">
        <f>SUM(F91:F122)</f>
        <v>0</v>
      </c>
    </row>
    <row r="124" ht="22.5" customHeight="1">
      <c r="A124" s="26"/>
      <c r="B124" s="28"/>
      <c r="C124" s="22"/>
      <c r="D124" s="23"/>
      <c r="E124" s="46"/>
      <c r="F124" s="25"/>
    </row>
    <row r="125" ht="22.5" customHeight="1">
      <c r="A125" s="20" t="s">
        <v>18</v>
      </c>
      <c r="B125" s="34" t="s">
        <v>19</v>
      </c>
      <c r="C125" s="22"/>
      <c r="D125" s="23"/>
      <c r="E125" s="46"/>
      <c r="F125" s="25"/>
    </row>
    <row r="126" ht="22.5" customHeight="1">
      <c r="A126" s="26">
        <v>1.0</v>
      </c>
      <c r="B126" s="28" t="s">
        <v>149</v>
      </c>
      <c r="C126" s="22" t="s">
        <v>150</v>
      </c>
      <c r="D126" s="23">
        <v>1.0</v>
      </c>
      <c r="E126" s="24"/>
      <c r="F126" s="27">
        <f t="shared" ref="F126:F132" si="5">SUM(D126*E126)</f>
        <v>0</v>
      </c>
    </row>
    <row r="127" ht="22.5" customHeight="1">
      <c r="A127" s="26">
        <v>2.0</v>
      </c>
      <c r="B127" s="38" t="s">
        <v>151</v>
      </c>
      <c r="C127" s="22" t="s">
        <v>37</v>
      </c>
      <c r="D127" s="51">
        <v>4.2</v>
      </c>
      <c r="E127" s="27"/>
      <c r="F127" s="27">
        <f t="shared" si="5"/>
        <v>0</v>
      </c>
    </row>
    <row r="128" ht="22.5" customHeight="1">
      <c r="A128" s="26">
        <v>3.0</v>
      </c>
      <c r="B128" s="38" t="s">
        <v>152</v>
      </c>
      <c r="C128" s="22" t="s">
        <v>13</v>
      </c>
      <c r="D128" s="51">
        <v>1.0</v>
      </c>
      <c r="E128" s="27"/>
      <c r="F128" s="27">
        <f t="shared" si="5"/>
        <v>0</v>
      </c>
    </row>
    <row r="129" ht="22.5" customHeight="1">
      <c r="A129" s="26">
        <v>4.0</v>
      </c>
      <c r="B129" s="38" t="s">
        <v>153</v>
      </c>
      <c r="C129" s="22" t="s">
        <v>150</v>
      </c>
      <c r="D129" s="23">
        <v>3.0</v>
      </c>
      <c r="E129" s="24"/>
      <c r="F129" s="27">
        <f t="shared" si="5"/>
        <v>0</v>
      </c>
    </row>
    <row r="130" ht="22.5" customHeight="1">
      <c r="A130" s="26">
        <v>5.0</v>
      </c>
      <c r="B130" s="38" t="s">
        <v>152</v>
      </c>
      <c r="C130" s="22" t="s">
        <v>13</v>
      </c>
      <c r="D130" s="51">
        <v>1.0</v>
      </c>
      <c r="E130" s="27"/>
      <c r="F130" s="27">
        <f t="shared" si="5"/>
        <v>0</v>
      </c>
    </row>
    <row r="131" ht="22.5" customHeight="1">
      <c r="A131" s="26">
        <v>6.0</v>
      </c>
      <c r="B131" s="28" t="s">
        <v>154</v>
      </c>
      <c r="C131" s="22" t="s">
        <v>37</v>
      </c>
      <c r="D131" s="23">
        <v>12.0</v>
      </c>
      <c r="E131" s="24"/>
      <c r="F131" s="27">
        <f t="shared" si="5"/>
        <v>0</v>
      </c>
    </row>
    <row r="132" ht="22.5" customHeight="1">
      <c r="A132" s="26">
        <v>7.0</v>
      </c>
      <c r="B132" s="28" t="s">
        <v>155</v>
      </c>
      <c r="C132" s="22" t="s">
        <v>80</v>
      </c>
      <c r="D132" s="23">
        <v>4.0</v>
      </c>
      <c r="E132" s="24"/>
      <c r="F132" s="27">
        <f t="shared" si="5"/>
        <v>0</v>
      </c>
    </row>
    <row r="133" ht="22.5" customHeight="1">
      <c r="A133" s="26"/>
      <c r="B133" s="28" t="s">
        <v>52</v>
      </c>
      <c r="C133" s="22"/>
      <c r="D133" s="23"/>
      <c r="E133" s="24"/>
      <c r="F133" s="25">
        <f>SUM(F126:F132)</f>
        <v>0</v>
      </c>
    </row>
    <row r="134" ht="22.5" customHeight="1">
      <c r="A134" s="26"/>
      <c r="B134" s="28"/>
      <c r="C134" s="22"/>
      <c r="D134" s="23"/>
      <c r="E134" s="24"/>
      <c r="F134" s="27"/>
    </row>
    <row r="135" ht="22.5" customHeight="1">
      <c r="A135" s="20" t="s">
        <v>20</v>
      </c>
      <c r="B135" s="34" t="s">
        <v>21</v>
      </c>
      <c r="C135" s="22"/>
      <c r="D135" s="23"/>
      <c r="E135" s="24"/>
      <c r="F135" s="27"/>
    </row>
    <row r="136" ht="22.5" customHeight="1">
      <c r="A136" s="26">
        <v>1.0</v>
      </c>
      <c r="B136" s="28" t="s">
        <v>156</v>
      </c>
      <c r="C136" s="22" t="s">
        <v>157</v>
      </c>
      <c r="D136" s="23">
        <v>124.0</v>
      </c>
      <c r="E136" s="27"/>
      <c r="F136" s="27">
        <f t="shared" ref="F136:F154" si="6">D136*E136</f>
        <v>0</v>
      </c>
    </row>
    <row r="137" ht="22.5" customHeight="1">
      <c r="A137" s="26">
        <v>2.0</v>
      </c>
      <c r="B137" s="28" t="s">
        <v>158</v>
      </c>
      <c r="C137" s="22" t="s">
        <v>159</v>
      </c>
      <c r="D137" s="23">
        <v>82.0</v>
      </c>
      <c r="E137" s="27"/>
      <c r="F137" s="27">
        <f t="shared" si="6"/>
        <v>0</v>
      </c>
    </row>
    <row r="138" ht="22.5" customHeight="1">
      <c r="A138" s="26">
        <v>3.0</v>
      </c>
      <c r="B138" s="28" t="s">
        <v>160</v>
      </c>
      <c r="C138" s="22" t="s">
        <v>161</v>
      </c>
      <c r="D138" s="23">
        <v>20.0</v>
      </c>
      <c r="E138" s="27"/>
      <c r="F138" s="27">
        <f t="shared" si="6"/>
        <v>0</v>
      </c>
    </row>
    <row r="139" ht="22.5" customHeight="1">
      <c r="A139" s="26">
        <v>4.0</v>
      </c>
      <c r="B139" s="28" t="s">
        <v>162</v>
      </c>
      <c r="C139" s="22" t="s">
        <v>163</v>
      </c>
      <c r="D139" s="23">
        <v>52.0</v>
      </c>
      <c r="E139" s="27"/>
      <c r="F139" s="27">
        <f t="shared" si="6"/>
        <v>0</v>
      </c>
    </row>
    <row r="140" ht="22.5" customHeight="1">
      <c r="A140" s="26">
        <v>5.0</v>
      </c>
      <c r="B140" s="28" t="s">
        <v>164</v>
      </c>
      <c r="C140" s="22" t="s">
        <v>165</v>
      </c>
      <c r="D140" s="23">
        <v>75.0</v>
      </c>
      <c r="E140" s="27"/>
      <c r="F140" s="27">
        <f t="shared" si="6"/>
        <v>0</v>
      </c>
    </row>
    <row r="141" ht="22.5" customHeight="1">
      <c r="A141" s="26">
        <v>6.0</v>
      </c>
      <c r="B141" s="28" t="s">
        <v>166</v>
      </c>
      <c r="C141" s="22" t="s">
        <v>167</v>
      </c>
      <c r="D141" s="23">
        <v>85.0</v>
      </c>
      <c r="E141" s="27"/>
      <c r="F141" s="27">
        <f t="shared" si="6"/>
        <v>0</v>
      </c>
    </row>
    <row r="142" ht="22.5" customHeight="1">
      <c r="A142" s="26">
        <v>7.0</v>
      </c>
      <c r="B142" s="28" t="s">
        <v>168</v>
      </c>
      <c r="C142" s="22" t="s">
        <v>169</v>
      </c>
      <c r="D142" s="23">
        <v>37.0</v>
      </c>
      <c r="E142" s="27"/>
      <c r="F142" s="27">
        <f t="shared" si="6"/>
        <v>0</v>
      </c>
    </row>
    <row r="143" ht="22.5" customHeight="1">
      <c r="A143" s="26">
        <v>8.0</v>
      </c>
      <c r="B143" s="28" t="s">
        <v>170</v>
      </c>
      <c r="C143" s="22" t="s">
        <v>171</v>
      </c>
      <c r="D143" s="23">
        <v>5.0</v>
      </c>
      <c r="E143" s="27"/>
      <c r="F143" s="27">
        <f t="shared" si="6"/>
        <v>0</v>
      </c>
    </row>
    <row r="144" ht="22.5" customHeight="1">
      <c r="A144" s="26">
        <v>9.0</v>
      </c>
      <c r="B144" s="28" t="s">
        <v>172</v>
      </c>
      <c r="C144" s="22" t="s">
        <v>13</v>
      </c>
      <c r="D144" s="23">
        <v>1.0</v>
      </c>
      <c r="E144" s="24"/>
      <c r="F144" s="27">
        <f t="shared" si="6"/>
        <v>0</v>
      </c>
    </row>
    <row r="145" ht="22.5" customHeight="1">
      <c r="A145" s="26">
        <v>10.0</v>
      </c>
      <c r="B145" s="28" t="s">
        <v>173</v>
      </c>
      <c r="C145" s="22" t="s">
        <v>13</v>
      </c>
      <c r="D145" s="23">
        <v>1.0</v>
      </c>
      <c r="E145" s="27"/>
      <c r="F145" s="27">
        <f t="shared" si="6"/>
        <v>0</v>
      </c>
    </row>
    <row r="146" ht="22.5" customHeight="1">
      <c r="A146" s="26">
        <v>11.0</v>
      </c>
      <c r="B146" s="28" t="s">
        <v>174</v>
      </c>
      <c r="C146" s="22" t="s">
        <v>175</v>
      </c>
      <c r="D146" s="23">
        <v>46.0</v>
      </c>
      <c r="E146" s="27"/>
      <c r="F146" s="27">
        <f t="shared" si="6"/>
        <v>0</v>
      </c>
    </row>
    <row r="147" ht="22.5" customHeight="1">
      <c r="A147" s="26">
        <v>12.0</v>
      </c>
      <c r="B147" s="28" t="s">
        <v>176</v>
      </c>
      <c r="C147" s="22" t="s">
        <v>175</v>
      </c>
      <c r="D147" s="23">
        <v>2.0</v>
      </c>
      <c r="E147" s="27"/>
      <c r="F147" s="27">
        <f t="shared" si="6"/>
        <v>0</v>
      </c>
    </row>
    <row r="148" ht="22.5" customHeight="1">
      <c r="A148" s="26">
        <v>13.0</v>
      </c>
      <c r="B148" s="28" t="s">
        <v>177</v>
      </c>
      <c r="C148" s="22" t="s">
        <v>175</v>
      </c>
      <c r="D148" s="23">
        <v>40.0</v>
      </c>
      <c r="E148" s="27"/>
      <c r="F148" s="27">
        <f t="shared" si="6"/>
        <v>0</v>
      </c>
    </row>
    <row r="149" ht="22.5" customHeight="1">
      <c r="A149" s="26">
        <v>14.0</v>
      </c>
      <c r="B149" s="28" t="s">
        <v>178</v>
      </c>
      <c r="C149" s="22" t="s">
        <v>175</v>
      </c>
      <c r="D149" s="23">
        <v>1.0</v>
      </c>
      <c r="E149" s="27"/>
      <c r="F149" s="27">
        <f t="shared" si="6"/>
        <v>0</v>
      </c>
    </row>
    <row r="150" ht="22.5" customHeight="1">
      <c r="A150" s="26">
        <v>15.0</v>
      </c>
      <c r="B150" s="28" t="s">
        <v>179</v>
      </c>
      <c r="C150" s="22" t="s">
        <v>175</v>
      </c>
      <c r="D150" s="23">
        <v>128.0</v>
      </c>
      <c r="E150" s="27"/>
      <c r="F150" s="27">
        <f t="shared" si="6"/>
        <v>0</v>
      </c>
    </row>
    <row r="151" ht="22.5" customHeight="1">
      <c r="A151" s="26">
        <v>16.0</v>
      </c>
      <c r="B151" s="28" t="s">
        <v>180</v>
      </c>
      <c r="C151" s="22" t="s">
        <v>175</v>
      </c>
      <c r="D151" s="23">
        <v>20.0</v>
      </c>
      <c r="E151" s="27"/>
      <c r="F151" s="27">
        <f t="shared" si="6"/>
        <v>0</v>
      </c>
    </row>
    <row r="152" ht="22.5" customHeight="1">
      <c r="A152" s="26">
        <v>17.0</v>
      </c>
      <c r="B152" s="28" t="s">
        <v>181</v>
      </c>
      <c r="C152" s="22" t="s">
        <v>13</v>
      </c>
      <c r="D152" s="23">
        <v>1.0</v>
      </c>
      <c r="E152" s="27"/>
      <c r="F152" s="27">
        <f t="shared" si="6"/>
        <v>0</v>
      </c>
    </row>
    <row r="153" ht="22.5" customHeight="1">
      <c r="A153" s="26">
        <v>18.0</v>
      </c>
      <c r="B153" s="28" t="s">
        <v>182</v>
      </c>
      <c r="C153" s="22" t="s">
        <v>13</v>
      </c>
      <c r="D153" s="23">
        <v>1.0</v>
      </c>
      <c r="E153" s="27"/>
      <c r="F153" s="27">
        <f t="shared" si="6"/>
        <v>0</v>
      </c>
    </row>
    <row r="154" ht="22.5" customHeight="1">
      <c r="A154" s="26">
        <v>19.0</v>
      </c>
      <c r="B154" s="28" t="s">
        <v>172</v>
      </c>
      <c r="C154" s="22" t="s">
        <v>13</v>
      </c>
      <c r="D154" s="23">
        <v>1.0</v>
      </c>
      <c r="E154" s="27"/>
      <c r="F154" s="27">
        <f t="shared" si="6"/>
        <v>0</v>
      </c>
    </row>
    <row r="155" ht="22.5" customHeight="1">
      <c r="A155" s="26"/>
      <c r="B155" s="28" t="s">
        <v>52</v>
      </c>
      <c r="C155" s="22"/>
      <c r="D155" s="23"/>
      <c r="E155" s="24"/>
      <c r="F155" s="25">
        <f>SUM(F136:F154)</f>
        <v>0</v>
      </c>
    </row>
    <row r="156" ht="22.5" customHeight="1">
      <c r="A156" s="26"/>
      <c r="B156" s="28"/>
      <c r="C156" s="22"/>
      <c r="D156" s="23"/>
      <c r="E156" s="24"/>
      <c r="F156" s="27"/>
    </row>
    <row r="157" ht="22.5" customHeight="1">
      <c r="A157" s="30" t="s">
        <v>22</v>
      </c>
      <c r="B157" s="21" t="s">
        <v>23</v>
      </c>
      <c r="C157" s="22"/>
      <c r="D157" s="23"/>
      <c r="E157" s="24"/>
      <c r="F157" s="27"/>
    </row>
    <row r="158" ht="22.5" customHeight="1">
      <c r="A158" s="26">
        <v>1.0</v>
      </c>
      <c r="B158" s="28" t="s">
        <v>183</v>
      </c>
      <c r="C158" s="22" t="s">
        <v>184</v>
      </c>
      <c r="D158" s="51">
        <v>7.0</v>
      </c>
      <c r="E158" s="24"/>
      <c r="F158" s="27">
        <f t="shared" ref="F158:F163" si="7">SUM(D158*E158)</f>
        <v>0</v>
      </c>
    </row>
    <row r="159" ht="22.5" customHeight="1">
      <c r="A159" s="26">
        <v>2.0</v>
      </c>
      <c r="B159" s="28" t="s">
        <v>185</v>
      </c>
      <c r="C159" s="22" t="s">
        <v>186</v>
      </c>
      <c r="D159" s="23">
        <v>12.0</v>
      </c>
      <c r="E159" s="24"/>
      <c r="F159" s="27">
        <f t="shared" si="7"/>
        <v>0</v>
      </c>
    </row>
    <row r="160" ht="22.5" customHeight="1">
      <c r="A160" s="26">
        <v>3.0</v>
      </c>
      <c r="B160" s="28" t="s">
        <v>187</v>
      </c>
      <c r="C160" s="22" t="s">
        <v>188</v>
      </c>
      <c r="D160" s="51">
        <v>3.0</v>
      </c>
      <c r="E160" s="24"/>
      <c r="F160" s="27">
        <f t="shared" si="7"/>
        <v>0</v>
      </c>
    </row>
    <row r="161" ht="22.5" customHeight="1">
      <c r="A161" s="26">
        <v>4.0</v>
      </c>
      <c r="B161" s="28" t="s">
        <v>189</v>
      </c>
      <c r="C161" s="22" t="s">
        <v>188</v>
      </c>
      <c r="D161" s="51">
        <v>2.0</v>
      </c>
      <c r="E161" s="27"/>
      <c r="F161" s="27">
        <f t="shared" si="7"/>
        <v>0</v>
      </c>
    </row>
    <row r="162" ht="22.5" customHeight="1">
      <c r="A162" s="26">
        <v>5.0</v>
      </c>
      <c r="B162" s="38" t="s">
        <v>190</v>
      </c>
      <c r="C162" s="22" t="s">
        <v>188</v>
      </c>
      <c r="D162" s="23">
        <v>1.0</v>
      </c>
      <c r="E162" s="24"/>
      <c r="F162" s="27">
        <f t="shared" si="7"/>
        <v>0</v>
      </c>
    </row>
    <row r="163" ht="22.5" customHeight="1">
      <c r="A163" s="26">
        <v>6.0</v>
      </c>
      <c r="B163" s="38" t="s">
        <v>191</v>
      </c>
      <c r="C163" s="22" t="s">
        <v>188</v>
      </c>
      <c r="D163" s="23">
        <v>1.0</v>
      </c>
      <c r="E163" s="24"/>
      <c r="F163" s="27">
        <f t="shared" si="7"/>
        <v>0</v>
      </c>
    </row>
    <row r="164" ht="22.5" customHeight="1">
      <c r="A164" s="20"/>
      <c r="B164" s="28" t="s">
        <v>52</v>
      </c>
      <c r="C164" s="22"/>
      <c r="D164" s="23"/>
      <c r="E164" s="24"/>
      <c r="F164" s="25">
        <f>SUM(F158:F163)</f>
        <v>0</v>
      </c>
    </row>
    <row r="165" ht="22.5" customHeight="1">
      <c r="A165" s="20"/>
      <c r="B165" s="38"/>
      <c r="C165" s="22"/>
      <c r="D165" s="23"/>
      <c r="E165" s="24"/>
      <c r="F165" s="27"/>
    </row>
    <row r="166" ht="22.5" customHeight="1">
      <c r="A166" s="20" t="s">
        <v>24</v>
      </c>
      <c r="B166" s="34" t="s">
        <v>25</v>
      </c>
      <c r="C166" s="22"/>
      <c r="D166" s="23"/>
      <c r="E166" s="24"/>
      <c r="F166" s="27"/>
    </row>
    <row r="167" ht="22.5" customHeight="1">
      <c r="A167" s="20"/>
      <c r="B167" s="52" t="s">
        <v>192</v>
      </c>
      <c r="C167" s="22"/>
      <c r="D167" s="23"/>
      <c r="E167" s="24"/>
      <c r="F167" s="27"/>
    </row>
    <row r="168" ht="22.5" customHeight="1">
      <c r="A168" s="26">
        <v>1.0</v>
      </c>
      <c r="B168" s="38" t="s">
        <v>193</v>
      </c>
      <c r="C168" s="39" t="s">
        <v>150</v>
      </c>
      <c r="D168" s="53">
        <v>1.0</v>
      </c>
      <c r="E168" s="24"/>
      <c r="F168" s="27">
        <f t="shared" ref="F168:F170" si="8">SUM(D168*E168)</f>
        <v>0</v>
      </c>
    </row>
    <row r="169" ht="22.5" customHeight="1">
      <c r="A169" s="26">
        <v>2.0</v>
      </c>
      <c r="B169" s="38" t="s">
        <v>194</v>
      </c>
      <c r="C169" s="39" t="s">
        <v>195</v>
      </c>
      <c r="D169" s="53">
        <v>3.0</v>
      </c>
      <c r="E169" s="24"/>
      <c r="F169" s="27">
        <f t="shared" si="8"/>
        <v>0</v>
      </c>
    </row>
    <row r="170" ht="22.5" customHeight="1">
      <c r="A170" s="26">
        <v>3.0</v>
      </c>
      <c r="B170" s="38" t="s">
        <v>196</v>
      </c>
      <c r="C170" s="39" t="s">
        <v>13</v>
      </c>
      <c r="D170" s="53">
        <v>1.0</v>
      </c>
      <c r="E170" s="24"/>
      <c r="F170" s="27">
        <f t="shared" si="8"/>
        <v>0</v>
      </c>
    </row>
    <row r="171" ht="22.5" customHeight="1">
      <c r="A171" s="26"/>
      <c r="B171" s="52" t="s">
        <v>197</v>
      </c>
      <c r="C171" s="22"/>
      <c r="D171" s="23"/>
      <c r="E171" s="24"/>
      <c r="F171" s="27"/>
    </row>
    <row r="172" ht="22.5" customHeight="1">
      <c r="A172" s="26">
        <v>1.0</v>
      </c>
      <c r="B172" s="38" t="s">
        <v>198</v>
      </c>
      <c r="C172" s="22" t="s">
        <v>195</v>
      </c>
      <c r="D172" s="53">
        <v>8.0</v>
      </c>
      <c r="E172" s="24"/>
      <c r="F172" s="27">
        <f t="shared" ref="F172:F177" si="9">SUM(D172*E172)</f>
        <v>0</v>
      </c>
    </row>
    <row r="173" ht="22.5" customHeight="1">
      <c r="A173" s="26">
        <v>2.0</v>
      </c>
      <c r="B173" s="38" t="s">
        <v>199</v>
      </c>
      <c r="C173" s="22" t="s">
        <v>195</v>
      </c>
      <c r="D173" s="23">
        <v>9.0</v>
      </c>
      <c r="E173" s="24"/>
      <c r="F173" s="27">
        <f t="shared" si="9"/>
        <v>0</v>
      </c>
    </row>
    <row r="174" ht="22.5" customHeight="1">
      <c r="A174" s="26">
        <v>3.0</v>
      </c>
      <c r="B174" s="38" t="s">
        <v>200</v>
      </c>
      <c r="C174" s="22" t="s">
        <v>195</v>
      </c>
      <c r="D174" s="23">
        <v>4.5</v>
      </c>
      <c r="E174" s="24"/>
      <c r="F174" s="27">
        <f t="shared" si="9"/>
        <v>0</v>
      </c>
    </row>
    <row r="175" ht="22.5" customHeight="1">
      <c r="A175" s="26">
        <v>4.0</v>
      </c>
      <c r="B175" s="38" t="s">
        <v>201</v>
      </c>
      <c r="C175" s="22" t="s">
        <v>195</v>
      </c>
      <c r="D175" s="23">
        <v>9.0</v>
      </c>
      <c r="E175" s="24"/>
      <c r="F175" s="27">
        <f t="shared" si="9"/>
        <v>0</v>
      </c>
    </row>
    <row r="176" ht="22.5" customHeight="1">
      <c r="A176" s="26">
        <v>5.0</v>
      </c>
      <c r="B176" s="28" t="s">
        <v>202</v>
      </c>
      <c r="C176" s="22" t="s">
        <v>195</v>
      </c>
      <c r="D176" s="23">
        <v>33.0</v>
      </c>
      <c r="E176" s="24"/>
      <c r="F176" s="27">
        <f t="shared" si="9"/>
        <v>0</v>
      </c>
    </row>
    <row r="177" ht="22.5" customHeight="1">
      <c r="A177" s="26">
        <v>6.0</v>
      </c>
      <c r="B177" s="38" t="s">
        <v>203</v>
      </c>
      <c r="C177" s="39" t="s">
        <v>13</v>
      </c>
      <c r="D177" s="53">
        <v>1.0</v>
      </c>
      <c r="E177" s="24"/>
      <c r="F177" s="27">
        <f t="shared" si="9"/>
        <v>0</v>
      </c>
    </row>
    <row r="178" ht="22.5" customHeight="1">
      <c r="A178" s="26"/>
      <c r="B178" s="52" t="s">
        <v>204</v>
      </c>
      <c r="C178" s="22"/>
      <c r="D178" s="23"/>
      <c r="E178" s="24"/>
      <c r="F178" s="27"/>
    </row>
    <row r="179" ht="22.5" customHeight="1">
      <c r="A179" s="26">
        <v>1.0</v>
      </c>
      <c r="B179" s="38" t="s">
        <v>205</v>
      </c>
      <c r="C179" s="22" t="s">
        <v>13</v>
      </c>
      <c r="D179" s="23">
        <v>1.0</v>
      </c>
      <c r="E179" s="24"/>
      <c r="F179" s="27">
        <f t="shared" ref="F179:F181" si="10">D179*E179</f>
        <v>0</v>
      </c>
    </row>
    <row r="180" ht="22.5" customHeight="1">
      <c r="A180" s="26">
        <v>2.0</v>
      </c>
      <c r="B180" s="28" t="s">
        <v>206</v>
      </c>
      <c r="C180" s="22" t="s">
        <v>195</v>
      </c>
      <c r="D180" s="23">
        <v>4.2</v>
      </c>
      <c r="E180" s="24"/>
      <c r="F180" s="27">
        <f t="shared" si="10"/>
        <v>0</v>
      </c>
    </row>
    <row r="181" ht="22.5" customHeight="1">
      <c r="A181" s="26">
        <v>3.0</v>
      </c>
      <c r="B181" s="38" t="s">
        <v>152</v>
      </c>
      <c r="C181" s="22" t="s">
        <v>13</v>
      </c>
      <c r="D181" s="23">
        <v>1.0</v>
      </c>
      <c r="E181" s="24"/>
      <c r="F181" s="27">
        <f t="shared" si="10"/>
        <v>0</v>
      </c>
    </row>
    <row r="182" ht="22.5" customHeight="1">
      <c r="A182" s="26">
        <v>4.0</v>
      </c>
      <c r="B182" s="38" t="s">
        <v>207</v>
      </c>
      <c r="C182" s="22" t="s">
        <v>195</v>
      </c>
      <c r="D182" s="53">
        <v>27.5</v>
      </c>
      <c r="E182" s="24"/>
      <c r="F182" s="27">
        <f t="shared" ref="F182:F185" si="11">SUM(D182*E182)</f>
        <v>0</v>
      </c>
    </row>
    <row r="183" ht="22.5" customHeight="1">
      <c r="A183" s="26">
        <v>5.0</v>
      </c>
      <c r="B183" s="28" t="s">
        <v>208</v>
      </c>
      <c r="C183" s="22" t="s">
        <v>195</v>
      </c>
      <c r="D183" s="23">
        <v>7.0</v>
      </c>
      <c r="E183" s="24"/>
      <c r="F183" s="27">
        <f t="shared" si="11"/>
        <v>0</v>
      </c>
    </row>
    <row r="184" ht="22.5" customHeight="1">
      <c r="A184" s="26">
        <v>6.0</v>
      </c>
      <c r="B184" s="28" t="s">
        <v>209</v>
      </c>
      <c r="C184" s="22" t="s">
        <v>13</v>
      </c>
      <c r="D184" s="23">
        <v>1.0</v>
      </c>
      <c r="E184" s="24"/>
      <c r="F184" s="27">
        <f t="shared" si="11"/>
        <v>0</v>
      </c>
    </row>
    <row r="185" ht="22.5" customHeight="1">
      <c r="A185" s="26">
        <v>7.0</v>
      </c>
      <c r="B185" s="38" t="s">
        <v>210</v>
      </c>
      <c r="C185" s="22" t="s">
        <v>195</v>
      </c>
      <c r="D185" s="53">
        <v>3.5</v>
      </c>
      <c r="E185" s="24"/>
      <c r="F185" s="27">
        <f t="shared" si="11"/>
        <v>0</v>
      </c>
    </row>
    <row r="186" ht="22.5" customHeight="1">
      <c r="A186" s="26"/>
      <c r="B186" s="52" t="s">
        <v>211</v>
      </c>
      <c r="C186" s="22"/>
      <c r="D186" s="23"/>
      <c r="E186" s="24"/>
      <c r="F186" s="27"/>
    </row>
    <row r="187" ht="22.5" customHeight="1">
      <c r="A187" s="26">
        <v>1.0</v>
      </c>
      <c r="B187" s="28" t="s">
        <v>212</v>
      </c>
      <c r="C187" s="22" t="s">
        <v>195</v>
      </c>
      <c r="D187" s="23">
        <v>9.0</v>
      </c>
      <c r="E187" s="24"/>
      <c r="F187" s="27">
        <f t="shared" ref="F187:F192" si="12">SUM(D187*E187)</f>
        <v>0</v>
      </c>
    </row>
    <row r="188" ht="22.5" customHeight="1">
      <c r="A188" s="26">
        <v>2.0</v>
      </c>
      <c r="B188" s="28" t="s">
        <v>213</v>
      </c>
      <c r="C188" s="22" t="s">
        <v>150</v>
      </c>
      <c r="D188" s="23">
        <v>1.0</v>
      </c>
      <c r="E188" s="24"/>
      <c r="F188" s="27">
        <f t="shared" si="12"/>
        <v>0</v>
      </c>
    </row>
    <row r="189" ht="22.5" customHeight="1">
      <c r="A189" s="26">
        <v>3.0</v>
      </c>
      <c r="B189" s="28" t="s">
        <v>214</v>
      </c>
      <c r="C189" s="22" t="s">
        <v>150</v>
      </c>
      <c r="D189" s="23">
        <v>1.0</v>
      </c>
      <c r="E189" s="24"/>
      <c r="F189" s="27">
        <f t="shared" si="12"/>
        <v>0</v>
      </c>
    </row>
    <row r="190" ht="22.5" customHeight="1">
      <c r="A190" s="26">
        <v>4.0</v>
      </c>
      <c r="B190" s="28" t="s">
        <v>215</v>
      </c>
      <c r="C190" s="22" t="s">
        <v>195</v>
      </c>
      <c r="D190" s="23">
        <v>4.0</v>
      </c>
      <c r="E190" s="24"/>
      <c r="F190" s="27">
        <f t="shared" si="12"/>
        <v>0</v>
      </c>
    </row>
    <row r="191" ht="22.5" customHeight="1">
      <c r="A191" s="26">
        <v>5.0</v>
      </c>
      <c r="B191" s="28" t="s">
        <v>216</v>
      </c>
      <c r="C191" s="22" t="s">
        <v>13</v>
      </c>
      <c r="D191" s="23">
        <v>1.0</v>
      </c>
      <c r="E191" s="24"/>
      <c r="F191" s="27">
        <f t="shared" si="12"/>
        <v>0</v>
      </c>
    </row>
    <row r="192" ht="22.5" customHeight="1">
      <c r="A192" s="26">
        <v>6.0</v>
      </c>
      <c r="B192" s="38" t="s">
        <v>207</v>
      </c>
      <c r="C192" s="22" t="s">
        <v>195</v>
      </c>
      <c r="D192" s="53">
        <v>4.0</v>
      </c>
      <c r="E192" s="24"/>
      <c r="F192" s="27">
        <f t="shared" si="12"/>
        <v>0</v>
      </c>
    </row>
    <row r="193" ht="22.5" customHeight="1">
      <c r="A193" s="26"/>
      <c r="B193" s="21" t="s">
        <v>217</v>
      </c>
      <c r="C193" s="22"/>
      <c r="D193" s="23"/>
      <c r="E193" s="24"/>
      <c r="F193" s="27">
        <f t="shared" ref="F193:F213" si="13">D193*E193</f>
        <v>0</v>
      </c>
    </row>
    <row r="194" ht="22.5" customHeight="1">
      <c r="A194" s="26">
        <v>1.0</v>
      </c>
      <c r="B194" s="28" t="s">
        <v>218</v>
      </c>
      <c r="C194" s="22" t="s">
        <v>195</v>
      </c>
      <c r="D194" s="23">
        <v>13.5</v>
      </c>
      <c r="E194" s="24"/>
      <c r="F194" s="27">
        <f t="shared" si="13"/>
        <v>0</v>
      </c>
    </row>
    <row r="195" ht="22.5" customHeight="1">
      <c r="A195" s="26">
        <v>2.0</v>
      </c>
      <c r="B195" s="38" t="s">
        <v>152</v>
      </c>
      <c r="C195" s="22" t="s">
        <v>13</v>
      </c>
      <c r="D195" s="23">
        <v>1.0</v>
      </c>
      <c r="E195" s="24"/>
      <c r="F195" s="27">
        <f t="shared" si="13"/>
        <v>0</v>
      </c>
    </row>
    <row r="196" ht="22.5" customHeight="1">
      <c r="A196" s="26">
        <v>3.0</v>
      </c>
      <c r="B196" s="28" t="s">
        <v>219</v>
      </c>
      <c r="C196" s="22" t="s">
        <v>195</v>
      </c>
      <c r="D196" s="23">
        <v>16.5</v>
      </c>
      <c r="E196" s="24"/>
      <c r="F196" s="27">
        <f t="shared" si="13"/>
        <v>0</v>
      </c>
    </row>
    <row r="197" ht="22.5" customHeight="1">
      <c r="A197" s="26">
        <v>4.0</v>
      </c>
      <c r="B197" s="28" t="s">
        <v>220</v>
      </c>
      <c r="C197" s="22" t="s">
        <v>13</v>
      </c>
      <c r="D197" s="23">
        <v>1.0</v>
      </c>
      <c r="E197" s="24"/>
      <c r="F197" s="27">
        <f t="shared" si="13"/>
        <v>0</v>
      </c>
    </row>
    <row r="198" ht="22.5" customHeight="1">
      <c r="A198" s="26">
        <v>5.0</v>
      </c>
      <c r="B198" s="28" t="s">
        <v>221</v>
      </c>
      <c r="C198" s="22" t="s">
        <v>13</v>
      </c>
      <c r="D198" s="23">
        <v>1.0</v>
      </c>
      <c r="E198" s="24"/>
      <c r="F198" s="27">
        <f t="shared" si="13"/>
        <v>0</v>
      </c>
    </row>
    <row r="199" ht="22.5" customHeight="1">
      <c r="A199" s="26">
        <v>6.0</v>
      </c>
      <c r="B199" s="28" t="s">
        <v>222</v>
      </c>
      <c r="C199" s="22" t="s">
        <v>195</v>
      </c>
      <c r="D199" s="23">
        <v>10.5</v>
      </c>
      <c r="E199" s="24"/>
      <c r="F199" s="27">
        <f t="shared" si="13"/>
        <v>0</v>
      </c>
    </row>
    <row r="200" ht="22.5" customHeight="1">
      <c r="A200" s="26">
        <v>7.0</v>
      </c>
      <c r="B200" s="28" t="s">
        <v>223</v>
      </c>
      <c r="C200" s="22" t="s">
        <v>195</v>
      </c>
      <c r="D200" s="23">
        <v>4.5</v>
      </c>
      <c r="E200" s="24"/>
      <c r="F200" s="27">
        <f t="shared" si="13"/>
        <v>0</v>
      </c>
    </row>
    <row r="201" ht="22.5" customHeight="1">
      <c r="A201" s="26">
        <v>8.0</v>
      </c>
      <c r="B201" s="28" t="s">
        <v>224</v>
      </c>
      <c r="C201" s="22" t="s">
        <v>13</v>
      </c>
      <c r="D201" s="23">
        <v>1.0</v>
      </c>
      <c r="E201" s="24"/>
      <c r="F201" s="27">
        <f t="shared" si="13"/>
        <v>0</v>
      </c>
    </row>
    <row r="202" ht="22.5" customHeight="1">
      <c r="A202" s="26">
        <v>9.0</v>
      </c>
      <c r="B202" s="28" t="s">
        <v>225</v>
      </c>
      <c r="C202" s="22" t="s">
        <v>150</v>
      </c>
      <c r="D202" s="23">
        <v>2.0</v>
      </c>
      <c r="E202" s="24"/>
      <c r="F202" s="27">
        <f t="shared" si="13"/>
        <v>0</v>
      </c>
    </row>
    <row r="203" ht="22.5" customHeight="1">
      <c r="A203" s="26"/>
      <c r="B203" s="21" t="s">
        <v>226</v>
      </c>
      <c r="C203" s="22"/>
      <c r="D203" s="23"/>
      <c r="E203" s="24"/>
      <c r="F203" s="27">
        <f t="shared" si="13"/>
        <v>0</v>
      </c>
    </row>
    <row r="204" ht="22.5" customHeight="1">
      <c r="A204" s="26">
        <v>1.0</v>
      </c>
      <c r="B204" s="28" t="s">
        <v>227</v>
      </c>
      <c r="C204" s="22" t="s">
        <v>195</v>
      </c>
      <c r="D204" s="23">
        <v>5.5</v>
      </c>
      <c r="E204" s="27"/>
      <c r="F204" s="27">
        <f t="shared" si="13"/>
        <v>0</v>
      </c>
    </row>
    <row r="205" ht="22.5" customHeight="1">
      <c r="A205" s="26">
        <v>2.0</v>
      </c>
      <c r="B205" s="28" t="s">
        <v>228</v>
      </c>
      <c r="C205" s="22" t="s">
        <v>150</v>
      </c>
      <c r="D205" s="23">
        <v>1.0</v>
      </c>
      <c r="E205" s="24"/>
      <c r="F205" s="27">
        <f t="shared" si="13"/>
        <v>0</v>
      </c>
    </row>
    <row r="206" ht="22.5" customHeight="1">
      <c r="A206" s="26">
        <v>3.0</v>
      </c>
      <c r="B206" s="28" t="s">
        <v>216</v>
      </c>
      <c r="C206" s="22" t="s">
        <v>150</v>
      </c>
      <c r="D206" s="23">
        <v>2.0</v>
      </c>
      <c r="E206" s="24"/>
      <c r="F206" s="27">
        <f t="shared" si="13"/>
        <v>0</v>
      </c>
    </row>
    <row r="207" ht="22.5" customHeight="1">
      <c r="A207" s="26">
        <v>4.0</v>
      </c>
      <c r="B207" s="28" t="s">
        <v>229</v>
      </c>
      <c r="C207" s="22" t="s">
        <v>195</v>
      </c>
      <c r="D207" s="23">
        <v>8.0</v>
      </c>
      <c r="E207" s="24"/>
      <c r="F207" s="27">
        <f t="shared" si="13"/>
        <v>0</v>
      </c>
    </row>
    <row r="208" ht="22.5" customHeight="1">
      <c r="A208" s="26">
        <v>5.0</v>
      </c>
      <c r="B208" s="28" t="s">
        <v>230</v>
      </c>
      <c r="C208" s="22" t="s">
        <v>195</v>
      </c>
      <c r="D208" s="23">
        <v>8.0</v>
      </c>
      <c r="E208" s="24"/>
      <c r="F208" s="27">
        <f t="shared" si="13"/>
        <v>0</v>
      </c>
    </row>
    <row r="209" ht="22.5" customHeight="1">
      <c r="A209" s="26">
        <v>6.0</v>
      </c>
      <c r="B209" s="28" t="s">
        <v>152</v>
      </c>
      <c r="C209" s="22" t="s">
        <v>13</v>
      </c>
      <c r="D209" s="23">
        <v>1.0</v>
      </c>
      <c r="E209" s="24"/>
      <c r="F209" s="27">
        <f t="shared" si="13"/>
        <v>0</v>
      </c>
    </row>
    <row r="210" ht="22.5" customHeight="1">
      <c r="A210" s="26">
        <v>7.0</v>
      </c>
      <c r="B210" s="28" t="s">
        <v>231</v>
      </c>
      <c r="C210" s="22" t="s">
        <v>150</v>
      </c>
      <c r="D210" s="23">
        <v>1.0</v>
      </c>
      <c r="E210" s="24"/>
      <c r="F210" s="27">
        <f t="shared" si="13"/>
        <v>0</v>
      </c>
    </row>
    <row r="211" ht="22.5" customHeight="1">
      <c r="A211" s="26">
        <v>8.0</v>
      </c>
      <c r="B211" s="28" t="s">
        <v>232</v>
      </c>
      <c r="C211" s="22" t="s">
        <v>13</v>
      </c>
      <c r="D211" s="23">
        <v>1.0</v>
      </c>
      <c r="E211" s="24"/>
      <c r="F211" s="27">
        <f t="shared" si="13"/>
        <v>0</v>
      </c>
    </row>
    <row r="212" ht="22.5" customHeight="1">
      <c r="A212" s="26">
        <v>9.0</v>
      </c>
      <c r="B212" s="28" t="s">
        <v>233</v>
      </c>
      <c r="C212" s="22" t="s">
        <v>195</v>
      </c>
      <c r="D212" s="23">
        <v>5.0</v>
      </c>
      <c r="E212" s="24"/>
      <c r="F212" s="27">
        <f t="shared" si="13"/>
        <v>0</v>
      </c>
    </row>
    <row r="213" ht="22.5" customHeight="1">
      <c r="A213" s="26">
        <v>10.0</v>
      </c>
      <c r="B213" s="28" t="s">
        <v>234</v>
      </c>
      <c r="C213" s="22" t="s">
        <v>195</v>
      </c>
      <c r="D213" s="23">
        <v>5.0</v>
      </c>
      <c r="E213" s="24"/>
      <c r="F213" s="27">
        <f t="shared" si="13"/>
        <v>0</v>
      </c>
    </row>
    <row r="214" ht="22.5" customHeight="1">
      <c r="A214" s="26"/>
      <c r="B214" s="21" t="s">
        <v>235</v>
      </c>
      <c r="C214" s="22"/>
      <c r="D214" s="23"/>
      <c r="E214" s="24"/>
      <c r="F214" s="27"/>
    </row>
    <row r="215" ht="22.5" customHeight="1">
      <c r="A215" s="26">
        <v>1.0</v>
      </c>
      <c r="B215" s="28" t="s">
        <v>236</v>
      </c>
      <c r="C215" s="22" t="s">
        <v>150</v>
      </c>
      <c r="D215" s="23">
        <v>1.0</v>
      </c>
      <c r="E215" s="24"/>
      <c r="F215" s="27">
        <f t="shared" ref="F215:F218" si="14">D215*E215</f>
        <v>0</v>
      </c>
    </row>
    <row r="216" ht="22.5" customHeight="1">
      <c r="A216" s="26">
        <v>2.0</v>
      </c>
      <c r="B216" s="28" t="s">
        <v>237</v>
      </c>
      <c r="C216" s="22" t="s">
        <v>195</v>
      </c>
      <c r="D216" s="23">
        <v>6.5</v>
      </c>
      <c r="E216" s="24"/>
      <c r="F216" s="27">
        <f t="shared" si="14"/>
        <v>0</v>
      </c>
    </row>
    <row r="217" ht="22.5" customHeight="1">
      <c r="A217" s="26">
        <v>3.0</v>
      </c>
      <c r="B217" s="28" t="s">
        <v>238</v>
      </c>
      <c r="C217" s="22" t="s">
        <v>195</v>
      </c>
      <c r="D217" s="23">
        <v>6.0</v>
      </c>
      <c r="E217" s="24"/>
      <c r="F217" s="27">
        <f t="shared" si="14"/>
        <v>0</v>
      </c>
    </row>
    <row r="218" ht="22.5" customHeight="1">
      <c r="A218" s="26">
        <v>4.0</v>
      </c>
      <c r="B218" s="28" t="s">
        <v>239</v>
      </c>
      <c r="C218" s="22" t="s">
        <v>195</v>
      </c>
      <c r="D218" s="23">
        <v>5.0</v>
      </c>
      <c r="E218" s="24"/>
      <c r="F218" s="27">
        <f t="shared" si="14"/>
        <v>0</v>
      </c>
    </row>
    <row r="219" ht="22.5" customHeight="1">
      <c r="A219" s="26"/>
      <c r="B219" s="21" t="s">
        <v>240</v>
      </c>
      <c r="C219" s="22"/>
      <c r="D219" s="23"/>
      <c r="E219" s="24"/>
      <c r="F219" s="27"/>
    </row>
    <row r="220" ht="22.5" customHeight="1">
      <c r="A220" s="26">
        <v>1.0</v>
      </c>
      <c r="B220" s="28" t="s">
        <v>241</v>
      </c>
      <c r="C220" s="22" t="s">
        <v>195</v>
      </c>
      <c r="D220" s="23">
        <v>2.5</v>
      </c>
      <c r="E220" s="24"/>
      <c r="F220" s="27">
        <f t="shared" ref="F220:F222" si="15">D220*E220</f>
        <v>0</v>
      </c>
    </row>
    <row r="221" ht="22.5" customHeight="1">
      <c r="A221" s="26">
        <v>2.0</v>
      </c>
      <c r="B221" s="28" t="s">
        <v>242</v>
      </c>
      <c r="C221" s="22" t="s">
        <v>195</v>
      </c>
      <c r="D221" s="23">
        <v>2.5</v>
      </c>
      <c r="E221" s="24"/>
      <c r="F221" s="27">
        <f t="shared" si="15"/>
        <v>0</v>
      </c>
    </row>
    <row r="222" ht="22.5" customHeight="1">
      <c r="A222" s="26">
        <v>3.0</v>
      </c>
      <c r="B222" s="28" t="s">
        <v>243</v>
      </c>
      <c r="C222" s="22" t="s">
        <v>13</v>
      </c>
      <c r="D222" s="23">
        <v>1.0</v>
      </c>
      <c r="E222" s="24"/>
      <c r="F222" s="27">
        <f t="shared" si="15"/>
        <v>0</v>
      </c>
    </row>
    <row r="223" ht="22.5" customHeight="1">
      <c r="A223" s="26"/>
      <c r="B223" s="21" t="s">
        <v>244</v>
      </c>
      <c r="C223" s="22"/>
      <c r="D223" s="23"/>
      <c r="E223" s="24"/>
      <c r="F223" s="27"/>
    </row>
    <row r="224" ht="22.5" customHeight="1">
      <c r="A224" s="26">
        <v>1.0</v>
      </c>
      <c r="B224" s="38" t="s">
        <v>245</v>
      </c>
      <c r="C224" s="22" t="s">
        <v>195</v>
      </c>
      <c r="D224" s="23">
        <v>4.0</v>
      </c>
      <c r="E224" s="24"/>
      <c r="F224" s="27">
        <f t="shared" ref="F224:F229" si="16">D224*E224</f>
        <v>0</v>
      </c>
    </row>
    <row r="225" ht="22.5" customHeight="1">
      <c r="A225" s="26">
        <v>2.0</v>
      </c>
      <c r="B225" s="38" t="s">
        <v>246</v>
      </c>
      <c r="C225" s="22" t="s">
        <v>195</v>
      </c>
      <c r="D225" s="23">
        <v>4.0</v>
      </c>
      <c r="E225" s="24"/>
      <c r="F225" s="27">
        <f t="shared" si="16"/>
        <v>0</v>
      </c>
    </row>
    <row r="226" ht="22.5" customHeight="1">
      <c r="A226" s="26">
        <v>3.0</v>
      </c>
      <c r="B226" s="38" t="s">
        <v>247</v>
      </c>
      <c r="C226" s="22" t="s">
        <v>13</v>
      </c>
      <c r="D226" s="23">
        <v>1.0</v>
      </c>
      <c r="E226" s="24"/>
      <c r="F226" s="27">
        <f t="shared" si="16"/>
        <v>0</v>
      </c>
    </row>
    <row r="227" ht="22.5" customHeight="1">
      <c r="A227" s="26">
        <v>4.0</v>
      </c>
      <c r="B227" s="38" t="s">
        <v>248</v>
      </c>
      <c r="C227" s="22" t="s">
        <v>195</v>
      </c>
      <c r="D227" s="23">
        <v>6.0</v>
      </c>
      <c r="E227" s="24"/>
      <c r="F227" s="27">
        <f t="shared" si="16"/>
        <v>0</v>
      </c>
    </row>
    <row r="228" ht="22.5" customHeight="1">
      <c r="A228" s="26">
        <v>5.0</v>
      </c>
      <c r="B228" s="38" t="s">
        <v>249</v>
      </c>
      <c r="C228" s="22" t="s">
        <v>195</v>
      </c>
      <c r="D228" s="23">
        <v>6.0</v>
      </c>
      <c r="E228" s="24"/>
      <c r="F228" s="27">
        <f t="shared" si="16"/>
        <v>0</v>
      </c>
    </row>
    <row r="229" ht="22.5" customHeight="1">
      <c r="A229" s="26">
        <v>6.0</v>
      </c>
      <c r="B229" s="38" t="s">
        <v>247</v>
      </c>
      <c r="C229" s="22" t="s">
        <v>13</v>
      </c>
      <c r="D229" s="23">
        <v>1.0</v>
      </c>
      <c r="E229" s="24"/>
      <c r="F229" s="27">
        <f t="shared" si="16"/>
        <v>0</v>
      </c>
    </row>
    <row r="230" ht="22.5" customHeight="1">
      <c r="A230" s="26"/>
      <c r="B230" s="21" t="s">
        <v>250</v>
      </c>
      <c r="C230" s="22"/>
      <c r="D230" s="23"/>
      <c r="E230" s="24"/>
      <c r="F230" s="27"/>
    </row>
    <row r="231" ht="16.5" customHeight="1">
      <c r="A231" s="26">
        <v>1.0</v>
      </c>
      <c r="B231" s="36" t="s">
        <v>251</v>
      </c>
      <c r="C231" s="22" t="s">
        <v>252</v>
      </c>
      <c r="D231" s="23">
        <v>144.0</v>
      </c>
      <c r="E231" s="24"/>
      <c r="F231" s="27">
        <f t="shared" ref="F231:F246" si="17">SUM(D231*E231)</f>
        <v>0</v>
      </c>
    </row>
    <row r="232" ht="22.5" customHeight="1">
      <c r="A232" s="26">
        <v>2.0</v>
      </c>
      <c r="B232" s="36" t="s">
        <v>253</v>
      </c>
      <c r="C232" s="22" t="s">
        <v>78</v>
      </c>
      <c r="D232" s="23">
        <v>12.0</v>
      </c>
      <c r="E232" s="24"/>
      <c r="F232" s="27">
        <f t="shared" si="17"/>
        <v>0</v>
      </c>
    </row>
    <row r="233" ht="22.5" customHeight="1">
      <c r="A233" s="26">
        <v>3.0</v>
      </c>
      <c r="B233" s="36" t="s">
        <v>254</v>
      </c>
      <c r="C233" s="22" t="s">
        <v>78</v>
      </c>
      <c r="D233" s="23">
        <v>3.0</v>
      </c>
      <c r="E233" s="24"/>
      <c r="F233" s="27">
        <f t="shared" si="17"/>
        <v>0</v>
      </c>
    </row>
    <row r="234" ht="22.5" customHeight="1">
      <c r="A234" s="26">
        <v>4.0</v>
      </c>
      <c r="B234" s="36" t="s">
        <v>255</v>
      </c>
      <c r="C234" s="22" t="s">
        <v>195</v>
      </c>
      <c r="D234" s="23">
        <v>30.0</v>
      </c>
      <c r="E234" s="24"/>
      <c r="F234" s="27">
        <f t="shared" si="17"/>
        <v>0</v>
      </c>
    </row>
    <row r="235" ht="22.5" customHeight="1">
      <c r="A235" s="26">
        <v>5.0</v>
      </c>
      <c r="B235" s="36" t="s">
        <v>256</v>
      </c>
      <c r="C235" s="22" t="s">
        <v>56</v>
      </c>
      <c r="D235" s="23">
        <v>4.0</v>
      </c>
      <c r="E235" s="24"/>
      <c r="F235" s="27">
        <f t="shared" si="17"/>
        <v>0</v>
      </c>
    </row>
    <row r="236" ht="22.5" customHeight="1">
      <c r="A236" s="26">
        <v>6.0</v>
      </c>
      <c r="B236" s="36" t="s">
        <v>257</v>
      </c>
      <c r="C236" s="22" t="s">
        <v>195</v>
      </c>
      <c r="D236" s="23">
        <v>58.0</v>
      </c>
      <c r="E236" s="24"/>
      <c r="F236" s="27">
        <f t="shared" si="17"/>
        <v>0</v>
      </c>
    </row>
    <row r="237" ht="22.5" customHeight="1">
      <c r="A237" s="26">
        <v>7.0</v>
      </c>
      <c r="B237" s="28" t="s">
        <v>258</v>
      </c>
      <c r="C237" s="22" t="s">
        <v>195</v>
      </c>
      <c r="D237" s="23">
        <v>145.0</v>
      </c>
      <c r="E237" s="24"/>
      <c r="F237" s="27">
        <f t="shared" si="17"/>
        <v>0</v>
      </c>
    </row>
    <row r="238" ht="22.5" customHeight="1">
      <c r="A238" s="26">
        <v>8.0</v>
      </c>
      <c r="B238" s="28" t="s">
        <v>259</v>
      </c>
      <c r="C238" s="22" t="s">
        <v>195</v>
      </c>
      <c r="D238" s="23">
        <v>45.0</v>
      </c>
      <c r="E238" s="24"/>
      <c r="F238" s="27">
        <f t="shared" si="17"/>
        <v>0</v>
      </c>
    </row>
    <row r="239" ht="22.5" customHeight="1">
      <c r="A239" s="26">
        <v>9.0</v>
      </c>
      <c r="B239" s="28" t="s">
        <v>260</v>
      </c>
      <c r="C239" s="22" t="s">
        <v>195</v>
      </c>
      <c r="D239" s="23">
        <v>33.0</v>
      </c>
      <c r="E239" s="24"/>
      <c r="F239" s="27">
        <f t="shared" si="17"/>
        <v>0</v>
      </c>
    </row>
    <row r="240" ht="22.5" customHeight="1">
      <c r="A240" s="26">
        <v>10.0</v>
      </c>
      <c r="B240" s="28" t="s">
        <v>261</v>
      </c>
      <c r="C240" s="22" t="s">
        <v>150</v>
      </c>
      <c r="D240" s="23">
        <v>1.0</v>
      </c>
      <c r="E240" s="24"/>
      <c r="F240" s="27">
        <f t="shared" si="17"/>
        <v>0</v>
      </c>
    </row>
    <row r="241" ht="22.5" customHeight="1">
      <c r="A241" s="26">
        <v>11.0</v>
      </c>
      <c r="B241" s="28" t="s">
        <v>262</v>
      </c>
      <c r="C241" s="22" t="s">
        <v>13</v>
      </c>
      <c r="D241" s="23">
        <v>1.0</v>
      </c>
      <c r="E241" s="24"/>
      <c r="F241" s="27">
        <f t="shared" si="17"/>
        <v>0</v>
      </c>
    </row>
    <row r="242" ht="22.5" customHeight="1">
      <c r="A242" s="26">
        <v>12.0</v>
      </c>
      <c r="B242" s="28" t="s">
        <v>263</v>
      </c>
      <c r="C242" s="22" t="s">
        <v>195</v>
      </c>
      <c r="D242" s="23">
        <v>43.0</v>
      </c>
      <c r="E242" s="24"/>
      <c r="F242" s="27">
        <f t="shared" si="17"/>
        <v>0</v>
      </c>
    </row>
    <row r="243" ht="22.5" customHeight="1">
      <c r="A243" s="26">
        <v>15.0</v>
      </c>
      <c r="B243" s="28" t="s">
        <v>264</v>
      </c>
      <c r="C243" s="22" t="s">
        <v>37</v>
      </c>
      <c r="D243" s="23">
        <v>25.0</v>
      </c>
      <c r="E243" s="24"/>
      <c r="F243" s="27">
        <f t="shared" si="17"/>
        <v>0</v>
      </c>
    </row>
    <row r="244" ht="22.5" customHeight="1">
      <c r="A244" s="26">
        <v>16.0</v>
      </c>
      <c r="B244" s="28" t="s">
        <v>265</v>
      </c>
      <c r="C244" s="22" t="s">
        <v>175</v>
      </c>
      <c r="D244" s="23">
        <v>30.0</v>
      </c>
      <c r="E244" s="24"/>
      <c r="F244" s="27">
        <f t="shared" si="17"/>
        <v>0</v>
      </c>
    </row>
    <row r="245" ht="22.5" customHeight="1">
      <c r="A245" s="26">
        <v>17.0</v>
      </c>
      <c r="B245" s="28" t="s">
        <v>266</v>
      </c>
      <c r="C245" s="22" t="s">
        <v>175</v>
      </c>
      <c r="D245" s="23">
        <v>30.0</v>
      </c>
      <c r="E245" s="24"/>
      <c r="F245" s="27">
        <f t="shared" si="17"/>
        <v>0</v>
      </c>
    </row>
    <row r="246" ht="22.5" customHeight="1">
      <c r="A246" s="26">
        <v>18.0</v>
      </c>
      <c r="B246" s="28" t="s">
        <v>267</v>
      </c>
      <c r="C246" s="22" t="s">
        <v>13</v>
      </c>
      <c r="D246" s="51">
        <v>1.0</v>
      </c>
      <c r="E246" s="27"/>
      <c r="F246" s="24">
        <f t="shared" si="17"/>
        <v>0</v>
      </c>
    </row>
    <row r="247" ht="22.5" customHeight="1">
      <c r="A247" s="26"/>
      <c r="B247" s="28" t="s">
        <v>52</v>
      </c>
      <c r="C247" s="22"/>
      <c r="D247" s="23"/>
      <c r="E247" s="24"/>
      <c r="F247" s="25">
        <f>SUM(F166:F246)</f>
        <v>0</v>
      </c>
    </row>
    <row r="248" ht="22.5" customHeight="1">
      <c r="A248" s="26"/>
      <c r="B248" s="28"/>
      <c r="C248" s="22"/>
      <c r="D248" s="23"/>
      <c r="E248" s="24"/>
      <c r="F248" s="27"/>
    </row>
    <row r="249" ht="22.5" customHeight="1">
      <c r="A249" s="20" t="s">
        <v>26</v>
      </c>
      <c r="B249" s="34" t="s">
        <v>268</v>
      </c>
      <c r="C249" s="22"/>
      <c r="D249" s="23"/>
      <c r="E249" s="24"/>
      <c r="F249" s="27"/>
    </row>
    <row r="250" ht="22.5" customHeight="1">
      <c r="A250" s="26">
        <v>1.0</v>
      </c>
      <c r="B250" s="28" t="s">
        <v>269</v>
      </c>
      <c r="C250" s="22" t="s">
        <v>13</v>
      </c>
      <c r="D250" s="23">
        <v>1.0</v>
      </c>
      <c r="E250" s="24"/>
      <c r="F250" s="27">
        <f t="shared" ref="F250:F257" si="18">SUM(D250*E250)</f>
        <v>0</v>
      </c>
    </row>
    <row r="251" ht="22.5" customHeight="1">
      <c r="A251" s="26">
        <v>2.0</v>
      </c>
      <c r="B251" s="28" t="s">
        <v>270</v>
      </c>
      <c r="C251" s="22" t="s">
        <v>13</v>
      </c>
      <c r="D251" s="23">
        <v>1.0</v>
      </c>
      <c r="E251" s="24"/>
      <c r="F251" s="27">
        <f t="shared" si="18"/>
        <v>0</v>
      </c>
    </row>
    <row r="252" ht="22.5" customHeight="1">
      <c r="A252" s="26">
        <v>3.0</v>
      </c>
      <c r="B252" s="28" t="s">
        <v>271</v>
      </c>
      <c r="C252" s="22" t="s">
        <v>13</v>
      </c>
      <c r="D252" s="23">
        <v>1.0</v>
      </c>
      <c r="E252" s="24"/>
      <c r="F252" s="27">
        <f t="shared" si="18"/>
        <v>0</v>
      </c>
    </row>
    <row r="253" ht="22.5" customHeight="1">
      <c r="A253" s="26">
        <v>4.0</v>
      </c>
      <c r="B253" s="28" t="s">
        <v>272</v>
      </c>
      <c r="C253" s="22" t="s">
        <v>273</v>
      </c>
      <c r="D253" s="23">
        <v>22.0</v>
      </c>
      <c r="E253" s="24"/>
      <c r="F253" s="27">
        <f t="shared" si="18"/>
        <v>0</v>
      </c>
    </row>
    <row r="254" ht="22.5" customHeight="1">
      <c r="A254" s="26">
        <v>5.0</v>
      </c>
      <c r="B254" s="28" t="s">
        <v>274</v>
      </c>
      <c r="C254" s="22" t="s">
        <v>13</v>
      </c>
      <c r="D254" s="23">
        <v>1.0</v>
      </c>
      <c r="E254" s="24"/>
      <c r="F254" s="27">
        <f t="shared" si="18"/>
        <v>0</v>
      </c>
    </row>
    <row r="255" ht="22.5" customHeight="1">
      <c r="A255" s="26">
        <v>6.0</v>
      </c>
      <c r="B255" s="28" t="s">
        <v>275</v>
      </c>
      <c r="C255" s="22" t="s">
        <v>13</v>
      </c>
      <c r="D255" s="23">
        <v>1.0</v>
      </c>
      <c r="E255" s="24"/>
      <c r="F255" s="27">
        <f t="shared" si="18"/>
        <v>0</v>
      </c>
    </row>
    <row r="256" ht="22.5" customHeight="1">
      <c r="A256" s="26">
        <v>7.0</v>
      </c>
      <c r="B256" s="28" t="s">
        <v>276</v>
      </c>
      <c r="C256" s="22" t="s">
        <v>13</v>
      </c>
      <c r="D256" s="23">
        <v>1.0</v>
      </c>
      <c r="E256" s="24"/>
      <c r="F256" s="27">
        <f t="shared" si="18"/>
        <v>0</v>
      </c>
    </row>
    <row r="257" ht="22.5" customHeight="1">
      <c r="A257" s="26">
        <v>8.0</v>
      </c>
      <c r="B257" s="28" t="s">
        <v>277</v>
      </c>
      <c r="C257" s="22" t="s">
        <v>13</v>
      </c>
      <c r="D257" s="23">
        <v>1.0</v>
      </c>
      <c r="E257" s="24"/>
      <c r="F257" s="27">
        <f t="shared" si="18"/>
        <v>0</v>
      </c>
    </row>
    <row r="258" ht="22.5" customHeight="1">
      <c r="A258" s="26"/>
      <c r="B258" s="28" t="s">
        <v>52</v>
      </c>
      <c r="C258" s="22"/>
      <c r="D258" s="23"/>
      <c r="E258" s="24"/>
      <c r="F258" s="25">
        <f>SUM(F250:F257)</f>
        <v>0</v>
      </c>
    </row>
    <row r="259" ht="22.5" customHeight="1">
      <c r="A259" s="26"/>
      <c r="B259" s="28"/>
      <c r="C259" s="22"/>
      <c r="D259" s="23"/>
      <c r="E259" s="24"/>
      <c r="F259" s="54"/>
    </row>
    <row r="260" ht="22.5" customHeight="1">
      <c r="A260" s="20" t="s">
        <v>28</v>
      </c>
      <c r="B260" s="34" t="s">
        <v>278</v>
      </c>
      <c r="C260" s="22"/>
      <c r="D260" s="23"/>
      <c r="E260" s="24"/>
      <c r="F260" s="27"/>
    </row>
    <row r="261" ht="22.5" customHeight="1">
      <c r="A261" s="26">
        <v>1.0</v>
      </c>
      <c r="B261" s="28" t="s">
        <v>279</v>
      </c>
      <c r="C261" s="22" t="s">
        <v>165</v>
      </c>
      <c r="D261" s="23">
        <v>36.0</v>
      </c>
      <c r="E261" s="24"/>
      <c r="F261" s="27">
        <f t="shared" ref="F261:F283" si="19">SUM(D261*E261)</f>
        <v>0</v>
      </c>
    </row>
    <row r="262" ht="22.5" customHeight="1">
      <c r="A262" s="26">
        <v>2.0</v>
      </c>
      <c r="B262" s="28" t="s">
        <v>280</v>
      </c>
      <c r="C262" s="22" t="s">
        <v>175</v>
      </c>
      <c r="D262" s="23">
        <v>1.0</v>
      </c>
      <c r="E262" s="24"/>
      <c r="F262" s="27">
        <f t="shared" si="19"/>
        <v>0</v>
      </c>
    </row>
    <row r="263" ht="22.5" customHeight="1">
      <c r="A263" s="26">
        <v>3.0</v>
      </c>
      <c r="B263" s="28" t="s">
        <v>281</v>
      </c>
      <c r="C263" s="22" t="s">
        <v>165</v>
      </c>
      <c r="D263" s="23">
        <v>99.0</v>
      </c>
      <c r="E263" s="24"/>
      <c r="F263" s="27">
        <f t="shared" si="19"/>
        <v>0</v>
      </c>
    </row>
    <row r="264" ht="22.5" customHeight="1">
      <c r="A264" s="26">
        <v>4.0</v>
      </c>
      <c r="B264" s="28" t="s">
        <v>282</v>
      </c>
      <c r="C264" s="22" t="s">
        <v>165</v>
      </c>
      <c r="D264" s="23">
        <v>38.0</v>
      </c>
      <c r="E264" s="24"/>
      <c r="F264" s="27">
        <f t="shared" si="19"/>
        <v>0</v>
      </c>
    </row>
    <row r="265" ht="22.5" customHeight="1">
      <c r="A265" s="26">
        <v>5.0</v>
      </c>
      <c r="B265" s="36" t="s">
        <v>283</v>
      </c>
      <c r="C265" s="22" t="s">
        <v>165</v>
      </c>
      <c r="D265" s="23">
        <v>60.0</v>
      </c>
      <c r="E265" s="24"/>
      <c r="F265" s="27">
        <f t="shared" si="19"/>
        <v>0</v>
      </c>
    </row>
    <row r="266" ht="22.5" customHeight="1">
      <c r="A266" s="26">
        <v>6.0</v>
      </c>
      <c r="B266" s="28" t="s">
        <v>284</v>
      </c>
      <c r="C266" s="22" t="s">
        <v>150</v>
      </c>
      <c r="D266" s="23">
        <v>2.0</v>
      </c>
      <c r="E266" s="24"/>
      <c r="F266" s="27">
        <f t="shared" si="19"/>
        <v>0</v>
      </c>
    </row>
    <row r="267" ht="22.5" customHeight="1">
      <c r="A267" s="26">
        <v>7.0</v>
      </c>
      <c r="B267" s="28" t="s">
        <v>285</v>
      </c>
      <c r="C267" s="22" t="s">
        <v>13</v>
      </c>
      <c r="D267" s="23">
        <v>1.0</v>
      </c>
      <c r="E267" s="24"/>
      <c r="F267" s="27">
        <f t="shared" si="19"/>
        <v>0</v>
      </c>
    </row>
    <row r="268" ht="22.5" customHeight="1">
      <c r="A268" s="26">
        <v>8.0</v>
      </c>
      <c r="B268" s="28" t="s">
        <v>286</v>
      </c>
      <c r="C268" s="22" t="s">
        <v>13</v>
      </c>
      <c r="D268" s="23">
        <v>1.0</v>
      </c>
      <c r="E268" s="24"/>
      <c r="F268" s="27">
        <f t="shared" si="19"/>
        <v>0</v>
      </c>
    </row>
    <row r="269" ht="22.5" customHeight="1">
      <c r="A269" s="26">
        <v>9.0</v>
      </c>
      <c r="B269" s="28" t="s">
        <v>287</v>
      </c>
      <c r="C269" s="22" t="s">
        <v>288</v>
      </c>
      <c r="D269" s="23">
        <v>285.0</v>
      </c>
      <c r="E269" s="24"/>
      <c r="F269" s="27">
        <f t="shared" si="19"/>
        <v>0</v>
      </c>
    </row>
    <row r="270" ht="22.5" customHeight="1">
      <c r="A270" s="26">
        <v>10.0</v>
      </c>
      <c r="B270" s="28" t="s">
        <v>289</v>
      </c>
      <c r="C270" s="22" t="s">
        <v>288</v>
      </c>
      <c r="D270" s="23">
        <v>95.0</v>
      </c>
      <c r="E270" s="24"/>
      <c r="F270" s="27">
        <f t="shared" si="19"/>
        <v>0</v>
      </c>
    </row>
    <row r="271" ht="22.5" customHeight="1">
      <c r="A271" s="26">
        <v>11.0</v>
      </c>
      <c r="B271" s="28" t="s">
        <v>290</v>
      </c>
      <c r="C271" s="22" t="s">
        <v>13</v>
      </c>
      <c r="D271" s="23">
        <v>1.0</v>
      </c>
      <c r="E271" s="24"/>
      <c r="F271" s="27">
        <f t="shared" si="19"/>
        <v>0</v>
      </c>
    </row>
    <row r="272" ht="22.5" customHeight="1">
      <c r="A272" s="26">
        <v>12.0</v>
      </c>
      <c r="B272" s="38" t="s">
        <v>291</v>
      </c>
      <c r="C272" s="22" t="s">
        <v>78</v>
      </c>
      <c r="D272" s="23">
        <v>2.0</v>
      </c>
      <c r="E272" s="24"/>
      <c r="F272" s="27">
        <f t="shared" si="19"/>
        <v>0</v>
      </c>
    </row>
    <row r="273" ht="22.5" customHeight="1">
      <c r="A273" s="26">
        <v>13.0</v>
      </c>
      <c r="B273" s="38" t="s">
        <v>292</v>
      </c>
      <c r="C273" s="22" t="s">
        <v>150</v>
      </c>
      <c r="D273" s="23">
        <v>2.0</v>
      </c>
      <c r="E273" s="24"/>
      <c r="F273" s="27">
        <f t="shared" si="19"/>
        <v>0</v>
      </c>
    </row>
    <row r="274" ht="22.5" customHeight="1">
      <c r="A274" s="26">
        <v>14.0</v>
      </c>
      <c r="B274" s="38" t="s">
        <v>293</v>
      </c>
      <c r="C274" s="22" t="s">
        <v>165</v>
      </c>
      <c r="D274" s="23">
        <v>80.0</v>
      </c>
      <c r="E274" s="24"/>
      <c r="F274" s="27">
        <f t="shared" si="19"/>
        <v>0</v>
      </c>
    </row>
    <row r="275" ht="22.5" customHeight="1">
      <c r="A275" s="26">
        <v>15.0</v>
      </c>
      <c r="B275" s="38" t="s">
        <v>294</v>
      </c>
      <c r="C275" s="22" t="s">
        <v>13</v>
      </c>
      <c r="D275" s="23">
        <v>1.0</v>
      </c>
      <c r="E275" s="24"/>
      <c r="F275" s="27">
        <f t="shared" si="19"/>
        <v>0</v>
      </c>
    </row>
    <row r="276" ht="22.5" customHeight="1">
      <c r="A276" s="26">
        <v>16.0</v>
      </c>
      <c r="B276" s="38" t="s">
        <v>295</v>
      </c>
      <c r="C276" s="22" t="s">
        <v>13</v>
      </c>
      <c r="D276" s="23">
        <v>1.0</v>
      </c>
      <c r="E276" s="24"/>
      <c r="F276" s="27">
        <f t="shared" si="19"/>
        <v>0</v>
      </c>
    </row>
    <row r="277" ht="22.5" customHeight="1">
      <c r="A277" s="26">
        <v>17.0</v>
      </c>
      <c r="B277" s="38" t="s">
        <v>296</v>
      </c>
      <c r="C277" s="22" t="s">
        <v>13</v>
      </c>
      <c r="D277" s="23">
        <v>1.0</v>
      </c>
      <c r="E277" s="24"/>
      <c r="F277" s="27">
        <f t="shared" si="19"/>
        <v>0</v>
      </c>
    </row>
    <row r="278" ht="22.5" customHeight="1">
      <c r="A278" s="26">
        <v>18.0</v>
      </c>
      <c r="B278" s="38" t="s">
        <v>297</v>
      </c>
      <c r="C278" s="22" t="s">
        <v>150</v>
      </c>
      <c r="D278" s="23">
        <v>2.0</v>
      </c>
      <c r="E278" s="24"/>
      <c r="F278" s="27">
        <f t="shared" si="19"/>
        <v>0</v>
      </c>
    </row>
    <row r="279" ht="22.5" customHeight="1">
      <c r="A279" s="26">
        <v>19.0</v>
      </c>
      <c r="B279" s="38" t="s">
        <v>298</v>
      </c>
      <c r="C279" s="22" t="s">
        <v>165</v>
      </c>
      <c r="D279" s="23">
        <v>70.0</v>
      </c>
      <c r="E279" s="24"/>
      <c r="F279" s="27">
        <f t="shared" si="19"/>
        <v>0</v>
      </c>
    </row>
    <row r="280" ht="22.5" customHeight="1">
      <c r="A280" s="26">
        <v>20.0</v>
      </c>
      <c r="B280" s="38" t="s">
        <v>299</v>
      </c>
      <c r="C280" s="22" t="s">
        <v>13</v>
      </c>
      <c r="D280" s="23">
        <v>1.0</v>
      </c>
      <c r="E280" s="24"/>
      <c r="F280" s="27">
        <f t="shared" si="19"/>
        <v>0</v>
      </c>
    </row>
    <row r="281" ht="22.5" customHeight="1">
      <c r="A281" s="26">
        <v>21.0</v>
      </c>
      <c r="B281" s="38" t="s">
        <v>300</v>
      </c>
      <c r="C281" s="22" t="s">
        <v>13</v>
      </c>
      <c r="D281" s="23">
        <v>1.0</v>
      </c>
      <c r="E281" s="24"/>
      <c r="F281" s="27">
        <f t="shared" si="19"/>
        <v>0</v>
      </c>
    </row>
    <row r="282" ht="22.5" customHeight="1">
      <c r="A282" s="26">
        <v>22.0</v>
      </c>
      <c r="B282" s="38" t="s">
        <v>301</v>
      </c>
      <c r="C282" s="22" t="s">
        <v>13</v>
      </c>
      <c r="D282" s="23">
        <v>1.0</v>
      </c>
      <c r="E282" s="24"/>
      <c r="F282" s="27">
        <f t="shared" si="19"/>
        <v>0</v>
      </c>
    </row>
    <row r="283" ht="22.5" customHeight="1">
      <c r="A283" s="26">
        <v>23.0</v>
      </c>
      <c r="B283" s="38" t="s">
        <v>302</v>
      </c>
      <c r="C283" s="22" t="s">
        <v>66</v>
      </c>
      <c r="D283" s="23">
        <v>2.0</v>
      </c>
      <c r="E283" s="24"/>
      <c r="F283" s="27">
        <f t="shared" si="19"/>
        <v>0</v>
      </c>
    </row>
    <row r="284" ht="22.5" customHeight="1">
      <c r="A284" s="20"/>
      <c r="B284" s="28" t="s">
        <v>52</v>
      </c>
      <c r="C284" s="22"/>
      <c r="D284" s="23"/>
      <c r="E284" s="24"/>
      <c r="F284" s="25">
        <f>SUM(F261:F283)</f>
        <v>0</v>
      </c>
    </row>
    <row r="285" ht="22.5" customHeight="1">
      <c r="A285" s="26"/>
      <c r="B285" s="28"/>
      <c r="C285" s="22"/>
      <c r="D285" s="23"/>
      <c r="E285" s="24"/>
      <c r="F285" s="27"/>
    </row>
    <row r="286" ht="22.5" customHeight="1">
      <c r="A286" s="20" t="s">
        <v>30</v>
      </c>
      <c r="B286" s="34" t="s">
        <v>31</v>
      </c>
      <c r="C286" s="22"/>
      <c r="D286" s="23"/>
      <c r="E286" s="24"/>
      <c r="F286" s="27"/>
    </row>
    <row r="287" ht="22.5" customHeight="1">
      <c r="A287" s="26">
        <v>1.0</v>
      </c>
      <c r="B287" s="28" t="s">
        <v>303</v>
      </c>
      <c r="C287" s="22" t="s">
        <v>13</v>
      </c>
      <c r="D287" s="23">
        <v>1.0</v>
      </c>
      <c r="E287" s="24"/>
      <c r="F287" s="27">
        <f t="shared" ref="F287:F288" si="20">SUM(D287*E287)</f>
        <v>0</v>
      </c>
    </row>
    <row r="288" ht="22.5" customHeight="1">
      <c r="A288" s="26">
        <v>2.0</v>
      </c>
      <c r="B288" s="28" t="s">
        <v>304</v>
      </c>
      <c r="C288" s="22" t="s">
        <v>305</v>
      </c>
      <c r="D288" s="23">
        <v>180.0</v>
      </c>
      <c r="E288" s="24"/>
      <c r="F288" s="27">
        <f t="shared" si="20"/>
        <v>0</v>
      </c>
    </row>
    <row r="289" ht="22.5" customHeight="1">
      <c r="A289" s="20"/>
      <c r="B289" s="28" t="s">
        <v>52</v>
      </c>
      <c r="C289" s="22"/>
      <c r="D289" s="23"/>
      <c r="E289" s="24"/>
      <c r="F289" s="25">
        <f>SUM(F287:F288)</f>
        <v>0</v>
      </c>
    </row>
    <row r="290" ht="22.5" customHeight="1">
      <c r="A290" s="26"/>
      <c r="B290" s="28"/>
      <c r="C290" s="22"/>
      <c r="D290" s="23"/>
      <c r="E290" s="24"/>
      <c r="F290" s="25"/>
    </row>
    <row r="291" ht="22.5" customHeight="1">
      <c r="A291" s="20" t="s">
        <v>32</v>
      </c>
      <c r="B291" s="21" t="s">
        <v>33</v>
      </c>
      <c r="C291" s="22" t="s">
        <v>13</v>
      </c>
      <c r="D291" s="23">
        <v>1.0</v>
      </c>
      <c r="E291" s="24"/>
      <c r="F291" s="25"/>
    </row>
    <row r="292" ht="22.5" customHeight="1">
      <c r="A292" s="26"/>
      <c r="B292" s="21"/>
      <c r="C292" s="22"/>
      <c r="D292" s="23"/>
      <c r="E292" s="24"/>
      <c r="F292" s="25"/>
    </row>
    <row r="293" ht="22.5" customHeight="1">
      <c r="A293" s="20" t="s">
        <v>34</v>
      </c>
      <c r="B293" s="21" t="s">
        <v>35</v>
      </c>
      <c r="C293" s="22" t="s">
        <v>13</v>
      </c>
      <c r="D293" s="23">
        <v>1.0</v>
      </c>
      <c r="E293" s="24"/>
      <c r="F293" s="25"/>
    </row>
    <row r="294" ht="22.5" customHeight="1">
      <c r="A294" s="26"/>
      <c r="B294" s="21"/>
      <c r="C294" s="22"/>
      <c r="D294" s="23"/>
      <c r="E294" s="24"/>
      <c r="F294" s="25"/>
    </row>
    <row r="295" ht="22.5" customHeight="1">
      <c r="A295" s="26"/>
      <c r="B295" s="21" t="s">
        <v>36</v>
      </c>
      <c r="C295" s="22"/>
      <c r="D295" s="23"/>
      <c r="E295" s="24"/>
      <c r="F295" s="25"/>
    </row>
    <row r="296" ht="22.5" customHeight="1">
      <c r="A296" s="26"/>
      <c r="B296" s="21"/>
      <c r="C296" s="22"/>
      <c r="D296" s="23"/>
      <c r="E296" s="24"/>
      <c r="F296" s="27"/>
    </row>
    <row r="297" ht="22.5" customHeight="1">
      <c r="A297" s="20" t="s">
        <v>37</v>
      </c>
      <c r="B297" s="21" t="s">
        <v>38</v>
      </c>
      <c r="C297" s="22"/>
      <c r="D297" s="23"/>
      <c r="E297" s="24"/>
      <c r="F297" s="25"/>
    </row>
    <row r="298" ht="22.5" customHeight="1">
      <c r="A298" s="26"/>
      <c r="B298" s="21"/>
      <c r="C298" s="22"/>
      <c r="D298" s="23"/>
      <c r="E298" s="24"/>
      <c r="F298" s="25"/>
    </row>
    <row r="299" ht="22.5" customHeight="1">
      <c r="A299" s="26"/>
      <c r="B299" s="21" t="s">
        <v>39</v>
      </c>
      <c r="C299" s="22"/>
      <c r="D299" s="23"/>
      <c r="E299" s="24"/>
      <c r="F299" s="25"/>
    </row>
    <row r="300" ht="16.5" customHeight="1">
      <c r="A300" s="55"/>
      <c r="C300" s="2"/>
      <c r="D300" s="56"/>
      <c r="E300" s="57"/>
      <c r="F300" s="58"/>
    </row>
    <row r="301" ht="16.5" customHeight="1">
      <c r="A301" s="55"/>
      <c r="C301" s="2"/>
      <c r="D301" s="56"/>
      <c r="E301" s="57"/>
      <c r="F301" s="58"/>
    </row>
    <row r="302" ht="16.5" customHeight="1">
      <c r="A302" s="55"/>
      <c r="C302" s="2"/>
      <c r="D302" s="56"/>
      <c r="E302" s="57"/>
      <c r="F302" s="58"/>
    </row>
    <row r="303" ht="16.5" customHeight="1">
      <c r="A303" s="55"/>
      <c r="C303" s="2"/>
      <c r="D303" s="56"/>
      <c r="E303" s="57"/>
      <c r="F303" s="58"/>
    </row>
    <row r="304" ht="16.5" customHeight="1">
      <c r="A304" s="55"/>
      <c r="C304" s="2"/>
      <c r="D304" s="56"/>
      <c r="E304" s="57"/>
      <c r="F304" s="58"/>
    </row>
    <row r="305" ht="16.5" customHeight="1">
      <c r="A305" s="55"/>
      <c r="C305" s="2"/>
      <c r="D305" s="56"/>
      <c r="E305" s="57"/>
      <c r="F305" s="58"/>
    </row>
    <row r="306" ht="16.5" customHeight="1">
      <c r="A306" s="55"/>
      <c r="C306" s="2"/>
      <c r="D306" s="56"/>
      <c r="E306" s="57"/>
      <c r="F306" s="58"/>
    </row>
    <row r="307" ht="16.5" customHeight="1">
      <c r="A307" s="55"/>
      <c r="C307" s="2"/>
      <c r="D307" s="56"/>
      <c r="E307" s="57"/>
      <c r="F307" s="58"/>
    </row>
    <row r="308" ht="16.5" customHeight="1">
      <c r="A308" s="55"/>
      <c r="C308" s="2"/>
      <c r="D308" s="56"/>
      <c r="E308" s="57"/>
      <c r="F308" s="58"/>
    </row>
    <row r="309" ht="16.5" customHeight="1">
      <c r="A309" s="55"/>
      <c r="C309" s="2"/>
      <c r="D309" s="56"/>
      <c r="E309" s="57"/>
      <c r="F309" s="58"/>
    </row>
    <row r="310" ht="16.5" customHeight="1">
      <c r="A310" s="55"/>
      <c r="C310" s="2"/>
      <c r="D310" s="56"/>
      <c r="E310" s="57"/>
      <c r="F310" s="58"/>
    </row>
    <row r="311" ht="16.5" customHeight="1">
      <c r="A311" s="55"/>
      <c r="C311" s="2"/>
      <c r="D311" s="56"/>
      <c r="E311" s="57"/>
      <c r="F311" s="58"/>
    </row>
    <row r="312" ht="16.5" customHeight="1">
      <c r="A312" s="55"/>
      <c r="C312" s="2"/>
      <c r="D312" s="56"/>
      <c r="E312" s="57"/>
      <c r="F312" s="58"/>
    </row>
    <row r="313" ht="16.5" customHeight="1">
      <c r="A313" s="55"/>
      <c r="C313" s="2"/>
      <c r="D313" s="56"/>
      <c r="E313" s="57"/>
      <c r="F313" s="58"/>
    </row>
    <row r="314" ht="16.5" customHeight="1">
      <c r="A314" s="55"/>
      <c r="C314" s="2"/>
      <c r="D314" s="56"/>
      <c r="E314" s="57"/>
      <c r="F314" s="58"/>
    </row>
    <row r="315" ht="16.5" customHeight="1">
      <c r="A315" s="55"/>
      <c r="C315" s="2"/>
      <c r="D315" s="56"/>
      <c r="E315" s="57"/>
      <c r="F315" s="58"/>
    </row>
    <row r="316" ht="16.5" customHeight="1">
      <c r="A316" s="55"/>
      <c r="C316" s="2"/>
      <c r="D316" s="56"/>
      <c r="E316" s="57"/>
      <c r="F316" s="58"/>
    </row>
    <row r="317" ht="16.5" customHeight="1">
      <c r="A317" s="55"/>
      <c r="C317" s="2"/>
      <c r="D317" s="56"/>
      <c r="E317" s="57"/>
      <c r="F317" s="58"/>
    </row>
    <row r="318" ht="16.5" customHeight="1">
      <c r="A318" s="55"/>
      <c r="C318" s="2"/>
      <c r="D318" s="56"/>
      <c r="E318" s="57"/>
      <c r="F318" s="58"/>
    </row>
    <row r="319" ht="16.5" customHeight="1">
      <c r="A319" s="55"/>
      <c r="C319" s="2"/>
      <c r="D319" s="56"/>
      <c r="E319" s="57"/>
      <c r="F319" s="58"/>
    </row>
    <row r="320" ht="16.5" customHeight="1">
      <c r="A320" s="55"/>
      <c r="C320" s="2"/>
      <c r="D320" s="56"/>
      <c r="E320" s="57"/>
      <c r="F320" s="58"/>
    </row>
    <row r="321" ht="16.5" customHeight="1">
      <c r="A321" s="55"/>
      <c r="C321" s="2"/>
      <c r="D321" s="56"/>
      <c r="E321" s="57"/>
      <c r="F321" s="58"/>
    </row>
    <row r="322" ht="16.5" customHeight="1">
      <c r="A322" s="55"/>
      <c r="C322" s="2"/>
      <c r="D322" s="56"/>
      <c r="E322" s="57"/>
      <c r="F322" s="58"/>
    </row>
    <row r="323" ht="16.5" customHeight="1">
      <c r="A323" s="55"/>
      <c r="C323" s="2"/>
      <c r="D323" s="56"/>
      <c r="E323" s="57"/>
      <c r="F323" s="58"/>
    </row>
    <row r="324" ht="16.5" customHeight="1">
      <c r="A324" s="55"/>
      <c r="C324" s="2"/>
      <c r="D324" s="56"/>
      <c r="E324" s="57"/>
      <c r="F324" s="58"/>
    </row>
    <row r="325" ht="16.5" customHeight="1">
      <c r="A325" s="55"/>
      <c r="C325" s="2"/>
      <c r="D325" s="56"/>
      <c r="E325" s="57"/>
      <c r="F325" s="58"/>
    </row>
    <row r="326" ht="16.5" customHeight="1">
      <c r="A326" s="55"/>
      <c r="C326" s="2"/>
      <c r="D326" s="56"/>
      <c r="E326" s="57"/>
      <c r="F326" s="58"/>
    </row>
    <row r="327" ht="16.5" customHeight="1">
      <c r="A327" s="55"/>
      <c r="C327" s="2"/>
      <c r="D327" s="56"/>
      <c r="E327" s="57"/>
      <c r="F327" s="58"/>
    </row>
    <row r="328" ht="16.5" customHeight="1">
      <c r="A328" s="55"/>
      <c r="C328" s="2"/>
      <c r="D328" s="56"/>
      <c r="E328" s="57"/>
      <c r="F328" s="58"/>
    </row>
    <row r="329" ht="16.5" customHeight="1">
      <c r="A329" s="55"/>
      <c r="C329" s="2"/>
      <c r="D329" s="56"/>
      <c r="E329" s="57"/>
      <c r="F329" s="58"/>
    </row>
    <row r="330" ht="16.5" customHeight="1">
      <c r="A330" s="55"/>
      <c r="C330" s="2"/>
      <c r="D330" s="56"/>
      <c r="E330" s="57"/>
      <c r="F330" s="58"/>
    </row>
    <row r="331" ht="16.5" customHeight="1">
      <c r="A331" s="55"/>
      <c r="C331" s="2"/>
      <c r="D331" s="56"/>
      <c r="E331" s="57"/>
      <c r="F331" s="58"/>
    </row>
    <row r="332" ht="16.5" customHeight="1">
      <c r="A332" s="55"/>
      <c r="C332" s="2"/>
      <c r="D332" s="56"/>
      <c r="E332" s="57"/>
      <c r="F332" s="58"/>
    </row>
    <row r="333" ht="16.5" customHeight="1">
      <c r="A333" s="55"/>
      <c r="C333" s="2"/>
      <c r="D333" s="56"/>
      <c r="E333" s="57"/>
      <c r="F333" s="58"/>
    </row>
    <row r="334" ht="16.5" customHeight="1">
      <c r="A334" s="55"/>
      <c r="C334" s="2"/>
      <c r="D334" s="56"/>
      <c r="E334" s="57"/>
      <c r="F334" s="58"/>
    </row>
    <row r="335" ht="16.5" customHeight="1">
      <c r="A335" s="55"/>
      <c r="C335" s="2"/>
      <c r="D335" s="56"/>
      <c r="E335" s="57"/>
      <c r="F335" s="58"/>
    </row>
    <row r="336" ht="16.5" customHeight="1">
      <c r="A336" s="55"/>
      <c r="C336" s="2"/>
      <c r="D336" s="56"/>
      <c r="E336" s="57"/>
      <c r="F336" s="58"/>
    </row>
    <row r="337" ht="16.5" customHeight="1">
      <c r="A337" s="55"/>
      <c r="C337" s="2"/>
      <c r="D337" s="56"/>
      <c r="E337" s="57"/>
      <c r="F337" s="58"/>
    </row>
    <row r="338" ht="16.5" customHeight="1">
      <c r="A338" s="55"/>
      <c r="C338" s="2"/>
      <c r="D338" s="56"/>
      <c r="E338" s="57"/>
      <c r="F338" s="58"/>
    </row>
    <row r="339" ht="16.5" customHeight="1">
      <c r="A339" s="55"/>
      <c r="C339" s="2"/>
      <c r="D339" s="56"/>
      <c r="E339" s="57"/>
      <c r="F339" s="58"/>
    </row>
    <row r="340" ht="16.5" customHeight="1">
      <c r="A340" s="55"/>
      <c r="C340" s="2"/>
      <c r="D340" s="56"/>
      <c r="E340" s="57"/>
      <c r="F340" s="58"/>
    </row>
    <row r="341" ht="16.5" customHeight="1">
      <c r="A341" s="55"/>
      <c r="C341" s="2"/>
      <c r="D341" s="56"/>
      <c r="E341" s="57"/>
      <c r="F341" s="58"/>
    </row>
    <row r="342" ht="16.5" customHeight="1">
      <c r="A342" s="55"/>
      <c r="C342" s="2"/>
      <c r="D342" s="56"/>
      <c r="E342" s="57"/>
      <c r="F342" s="58"/>
    </row>
    <row r="343" ht="16.5" customHeight="1">
      <c r="A343" s="55"/>
      <c r="C343" s="2"/>
      <c r="D343" s="56"/>
      <c r="E343" s="57"/>
      <c r="F343" s="58"/>
    </row>
    <row r="344" ht="16.5" customHeight="1">
      <c r="A344" s="55"/>
      <c r="C344" s="2"/>
      <c r="D344" s="56"/>
      <c r="E344" s="57"/>
      <c r="F344" s="58"/>
    </row>
    <row r="345" ht="16.5" customHeight="1">
      <c r="A345" s="55"/>
      <c r="C345" s="2"/>
      <c r="D345" s="56"/>
      <c r="E345" s="57"/>
      <c r="F345" s="58"/>
    </row>
    <row r="346" ht="16.5" customHeight="1">
      <c r="A346" s="55"/>
      <c r="C346" s="2"/>
      <c r="D346" s="56"/>
      <c r="E346" s="57"/>
      <c r="F346" s="58"/>
    </row>
    <row r="347" ht="16.5" customHeight="1">
      <c r="A347" s="55"/>
      <c r="C347" s="2"/>
      <c r="D347" s="56"/>
      <c r="E347" s="57"/>
      <c r="F347" s="58"/>
    </row>
    <row r="348" ht="16.5" customHeight="1">
      <c r="A348" s="55"/>
      <c r="C348" s="2"/>
      <c r="D348" s="56"/>
      <c r="E348" s="57"/>
      <c r="F348" s="58"/>
    </row>
    <row r="349" ht="16.5" customHeight="1">
      <c r="A349" s="55"/>
      <c r="C349" s="2"/>
      <c r="D349" s="56"/>
      <c r="E349" s="57"/>
      <c r="F349" s="58"/>
    </row>
    <row r="350" ht="16.5" customHeight="1">
      <c r="A350" s="55"/>
      <c r="C350" s="2"/>
      <c r="D350" s="56"/>
      <c r="E350" s="57"/>
      <c r="F350" s="58"/>
    </row>
    <row r="351" ht="16.5" customHeight="1">
      <c r="A351" s="55"/>
      <c r="C351" s="2"/>
      <c r="D351" s="56"/>
      <c r="E351" s="57"/>
      <c r="F351" s="58"/>
    </row>
    <row r="352" ht="16.5" customHeight="1">
      <c r="A352" s="55"/>
      <c r="C352" s="2"/>
      <c r="D352" s="56"/>
      <c r="E352" s="57"/>
      <c r="F352" s="58"/>
    </row>
    <row r="353" ht="16.5" customHeight="1">
      <c r="A353" s="55"/>
      <c r="C353" s="2"/>
      <c r="D353" s="56"/>
      <c r="E353" s="57"/>
      <c r="F353" s="58"/>
    </row>
    <row r="354" ht="16.5" customHeight="1">
      <c r="A354" s="55"/>
      <c r="C354" s="2"/>
      <c r="D354" s="56"/>
      <c r="E354" s="57"/>
      <c r="F354" s="58"/>
    </row>
    <row r="355" ht="16.5" customHeight="1">
      <c r="A355" s="55"/>
      <c r="C355" s="2"/>
      <c r="D355" s="56"/>
      <c r="E355" s="57"/>
      <c r="F355" s="58"/>
    </row>
    <row r="356" ht="16.5" customHeight="1">
      <c r="A356" s="55"/>
      <c r="C356" s="2"/>
      <c r="D356" s="56"/>
      <c r="E356" s="57"/>
      <c r="F356" s="58"/>
    </row>
    <row r="357" ht="16.5" customHeight="1">
      <c r="A357" s="55"/>
      <c r="C357" s="2"/>
      <c r="D357" s="56"/>
      <c r="E357" s="57"/>
      <c r="F357" s="58"/>
    </row>
    <row r="358" ht="16.5" customHeight="1">
      <c r="A358" s="55"/>
      <c r="C358" s="2"/>
      <c r="D358" s="56"/>
      <c r="E358" s="57"/>
      <c r="F358" s="58"/>
    </row>
    <row r="359" ht="16.5" customHeight="1">
      <c r="A359" s="55"/>
      <c r="C359" s="2"/>
      <c r="D359" s="56"/>
      <c r="E359" s="57"/>
      <c r="F359" s="58"/>
    </row>
    <row r="360" ht="16.5" customHeight="1">
      <c r="A360" s="55"/>
      <c r="C360" s="2"/>
      <c r="D360" s="56"/>
      <c r="E360" s="57"/>
      <c r="F360" s="58"/>
    </row>
    <row r="361" ht="16.5" customHeight="1">
      <c r="A361" s="55"/>
      <c r="C361" s="2"/>
      <c r="D361" s="56"/>
      <c r="E361" s="57"/>
      <c r="F361" s="58"/>
    </row>
    <row r="362" ht="16.5" customHeight="1">
      <c r="A362" s="55"/>
      <c r="C362" s="2"/>
      <c r="D362" s="56"/>
      <c r="E362" s="57"/>
      <c r="F362" s="58"/>
    </row>
    <row r="363" ht="16.5" customHeight="1">
      <c r="A363" s="55"/>
      <c r="C363" s="2"/>
      <c r="D363" s="56"/>
      <c r="E363" s="57"/>
      <c r="F363" s="58"/>
    </row>
    <row r="364" ht="16.5" customHeight="1">
      <c r="A364" s="55"/>
      <c r="C364" s="2"/>
      <c r="D364" s="56"/>
      <c r="E364" s="57"/>
      <c r="F364" s="58"/>
    </row>
    <row r="365" ht="16.5" customHeight="1">
      <c r="A365" s="55"/>
      <c r="C365" s="2"/>
      <c r="D365" s="56"/>
      <c r="E365" s="57"/>
      <c r="F365" s="58"/>
    </row>
    <row r="366" ht="16.5" customHeight="1">
      <c r="A366" s="55"/>
      <c r="C366" s="2"/>
      <c r="D366" s="56"/>
      <c r="E366" s="57"/>
      <c r="F366" s="58"/>
    </row>
    <row r="367" ht="16.5" customHeight="1">
      <c r="A367" s="55"/>
      <c r="C367" s="2"/>
      <c r="D367" s="56"/>
      <c r="E367" s="57"/>
      <c r="F367" s="58"/>
    </row>
    <row r="368" ht="16.5" customHeight="1">
      <c r="A368" s="55"/>
      <c r="C368" s="2"/>
      <c r="D368" s="56"/>
      <c r="E368" s="57"/>
      <c r="F368" s="58"/>
    </row>
    <row r="369" ht="16.5" customHeight="1">
      <c r="A369" s="55"/>
      <c r="C369" s="2"/>
      <c r="D369" s="56"/>
      <c r="E369" s="57"/>
      <c r="F369" s="58"/>
    </row>
    <row r="370" ht="16.5" customHeight="1">
      <c r="A370" s="55"/>
      <c r="C370" s="2"/>
      <c r="D370" s="56"/>
      <c r="E370" s="57"/>
      <c r="F370" s="58"/>
    </row>
    <row r="371" ht="16.5" customHeight="1">
      <c r="A371" s="55"/>
      <c r="C371" s="2"/>
      <c r="D371" s="56"/>
      <c r="E371" s="57"/>
      <c r="F371" s="58"/>
    </row>
    <row r="372" ht="16.5" customHeight="1">
      <c r="A372" s="55"/>
      <c r="C372" s="2"/>
      <c r="D372" s="56"/>
      <c r="E372" s="57"/>
      <c r="F372" s="58"/>
    </row>
    <row r="373" ht="16.5" customHeight="1">
      <c r="A373" s="55"/>
      <c r="C373" s="2"/>
      <c r="D373" s="56"/>
      <c r="E373" s="57"/>
      <c r="F373" s="58"/>
    </row>
    <row r="374" ht="16.5" customHeight="1">
      <c r="A374" s="55"/>
      <c r="C374" s="2"/>
      <c r="D374" s="56"/>
      <c r="E374" s="57"/>
      <c r="F374" s="58"/>
    </row>
    <row r="375" ht="16.5" customHeight="1">
      <c r="A375" s="55"/>
      <c r="C375" s="2"/>
      <c r="D375" s="56"/>
      <c r="E375" s="57"/>
      <c r="F375" s="58"/>
    </row>
    <row r="376" ht="16.5" customHeight="1">
      <c r="A376" s="55"/>
      <c r="C376" s="2"/>
      <c r="D376" s="56"/>
      <c r="E376" s="57"/>
      <c r="F376" s="58"/>
    </row>
    <row r="377" ht="16.5" customHeight="1">
      <c r="A377" s="55"/>
      <c r="C377" s="2"/>
      <c r="D377" s="56"/>
      <c r="E377" s="57"/>
      <c r="F377" s="58"/>
    </row>
    <row r="378" ht="16.5" customHeight="1">
      <c r="A378" s="55"/>
      <c r="C378" s="2"/>
      <c r="D378" s="56"/>
      <c r="E378" s="57"/>
      <c r="F378" s="58"/>
    </row>
    <row r="379" ht="16.5" customHeight="1">
      <c r="A379" s="55"/>
      <c r="C379" s="2"/>
      <c r="D379" s="56"/>
      <c r="E379" s="57"/>
      <c r="F379" s="58"/>
    </row>
    <row r="380" ht="16.5" customHeight="1">
      <c r="A380" s="55"/>
      <c r="C380" s="2"/>
      <c r="D380" s="56"/>
      <c r="E380" s="57"/>
      <c r="F380" s="58"/>
    </row>
    <row r="381" ht="16.5" customHeight="1">
      <c r="A381" s="55"/>
      <c r="C381" s="2"/>
      <c r="D381" s="56"/>
      <c r="E381" s="57"/>
      <c r="F381" s="58"/>
    </row>
    <row r="382" ht="16.5" customHeight="1">
      <c r="A382" s="55"/>
      <c r="C382" s="2"/>
      <c r="D382" s="56"/>
      <c r="E382" s="57"/>
      <c r="F382" s="58"/>
    </row>
    <row r="383" ht="16.5" customHeight="1">
      <c r="A383" s="55"/>
      <c r="C383" s="2"/>
      <c r="D383" s="56"/>
      <c r="E383" s="57"/>
      <c r="F383" s="58"/>
    </row>
    <row r="384" ht="16.5" customHeight="1">
      <c r="A384" s="55"/>
      <c r="C384" s="2"/>
      <c r="D384" s="56"/>
      <c r="E384" s="57"/>
      <c r="F384" s="58"/>
    </row>
    <row r="385" ht="16.5" customHeight="1">
      <c r="A385" s="55"/>
      <c r="C385" s="2"/>
      <c r="D385" s="56"/>
      <c r="E385" s="57"/>
      <c r="F385" s="58"/>
    </row>
    <row r="386" ht="16.5" customHeight="1">
      <c r="A386" s="55"/>
      <c r="C386" s="2"/>
      <c r="D386" s="56"/>
      <c r="E386" s="57"/>
      <c r="F386" s="58"/>
    </row>
    <row r="387" ht="16.5" customHeight="1">
      <c r="A387" s="55"/>
      <c r="C387" s="2"/>
      <c r="D387" s="56"/>
      <c r="E387" s="57"/>
      <c r="F387" s="58"/>
    </row>
    <row r="388" ht="16.5" customHeight="1">
      <c r="A388" s="55"/>
      <c r="C388" s="2"/>
      <c r="D388" s="56"/>
      <c r="E388" s="57"/>
      <c r="F388" s="58"/>
    </row>
    <row r="389" ht="16.5" customHeight="1">
      <c r="A389" s="55"/>
      <c r="C389" s="2"/>
      <c r="D389" s="56"/>
      <c r="E389" s="57"/>
      <c r="F389" s="58"/>
    </row>
    <row r="390" ht="16.5" customHeight="1">
      <c r="A390" s="55"/>
      <c r="C390" s="2"/>
      <c r="D390" s="56"/>
      <c r="E390" s="57"/>
      <c r="F390" s="58"/>
    </row>
    <row r="391" ht="16.5" customHeight="1">
      <c r="A391" s="55"/>
      <c r="C391" s="2"/>
      <c r="D391" s="56"/>
      <c r="E391" s="57"/>
      <c r="F391" s="58"/>
    </row>
    <row r="392" ht="16.5" customHeight="1">
      <c r="A392" s="55"/>
      <c r="C392" s="2"/>
      <c r="D392" s="56"/>
      <c r="E392" s="57"/>
      <c r="F392" s="58"/>
    </row>
    <row r="393" ht="16.5" customHeight="1">
      <c r="A393" s="55"/>
      <c r="C393" s="2"/>
      <c r="D393" s="56"/>
      <c r="E393" s="57"/>
      <c r="F393" s="58"/>
    </row>
    <row r="394" ht="16.5" customHeight="1">
      <c r="A394" s="55"/>
      <c r="C394" s="2"/>
      <c r="D394" s="56"/>
      <c r="E394" s="57"/>
      <c r="F394" s="58"/>
    </row>
    <row r="395" ht="16.5" customHeight="1">
      <c r="A395" s="55"/>
      <c r="C395" s="2"/>
      <c r="D395" s="56"/>
      <c r="E395" s="57"/>
      <c r="F395" s="58"/>
    </row>
    <row r="396" ht="16.5" customHeight="1">
      <c r="A396" s="55"/>
      <c r="C396" s="2"/>
      <c r="D396" s="56"/>
      <c r="E396" s="57"/>
      <c r="F396" s="58"/>
    </row>
    <row r="397" ht="16.5" customHeight="1">
      <c r="A397" s="55"/>
      <c r="C397" s="2"/>
      <c r="D397" s="56"/>
      <c r="E397" s="57"/>
      <c r="F397" s="58"/>
    </row>
    <row r="398" ht="16.5" customHeight="1">
      <c r="A398" s="55"/>
      <c r="C398" s="2"/>
      <c r="D398" s="56"/>
      <c r="E398" s="57"/>
      <c r="F398" s="58"/>
    </row>
    <row r="399" ht="16.5" customHeight="1">
      <c r="A399" s="55"/>
      <c r="C399" s="2"/>
      <c r="D399" s="56"/>
      <c r="E399" s="57"/>
      <c r="F399" s="58"/>
    </row>
    <row r="400" ht="16.5" customHeight="1">
      <c r="A400" s="55"/>
      <c r="C400" s="2"/>
      <c r="D400" s="56"/>
      <c r="E400" s="57"/>
      <c r="F400" s="58"/>
    </row>
    <row r="401" ht="16.5" customHeight="1">
      <c r="A401" s="55"/>
      <c r="C401" s="2"/>
      <c r="D401" s="56"/>
      <c r="E401" s="57"/>
      <c r="F401" s="58"/>
    </row>
    <row r="402" ht="16.5" customHeight="1">
      <c r="A402" s="55"/>
      <c r="C402" s="2"/>
      <c r="D402" s="56"/>
      <c r="E402" s="57"/>
      <c r="F402" s="58"/>
    </row>
    <row r="403" ht="16.5" customHeight="1">
      <c r="A403" s="55"/>
      <c r="C403" s="2"/>
      <c r="D403" s="56"/>
      <c r="E403" s="57"/>
      <c r="F403" s="58"/>
    </row>
    <row r="404" ht="16.5" customHeight="1">
      <c r="A404" s="55"/>
      <c r="C404" s="2"/>
      <c r="D404" s="56"/>
      <c r="E404" s="57"/>
      <c r="F404" s="58"/>
    </row>
    <row r="405" ht="16.5" customHeight="1">
      <c r="A405" s="55"/>
      <c r="C405" s="2"/>
      <c r="D405" s="56"/>
      <c r="E405" s="57"/>
      <c r="F405" s="58"/>
    </row>
    <row r="406" ht="16.5" customHeight="1">
      <c r="A406" s="55"/>
      <c r="C406" s="2"/>
      <c r="D406" s="56"/>
      <c r="E406" s="57"/>
      <c r="F406" s="58"/>
    </row>
    <row r="407" ht="16.5" customHeight="1">
      <c r="A407" s="55"/>
      <c r="C407" s="2"/>
      <c r="D407" s="56"/>
      <c r="E407" s="57"/>
      <c r="F407" s="58"/>
    </row>
    <row r="408" ht="16.5" customHeight="1">
      <c r="A408" s="55"/>
      <c r="C408" s="2"/>
      <c r="D408" s="56"/>
      <c r="E408" s="57"/>
      <c r="F408" s="58"/>
    </row>
    <row r="409" ht="16.5" customHeight="1">
      <c r="A409" s="55"/>
      <c r="C409" s="2"/>
      <c r="D409" s="56"/>
      <c r="E409" s="57"/>
      <c r="F409" s="58"/>
    </row>
    <row r="410" ht="16.5" customHeight="1">
      <c r="A410" s="55"/>
      <c r="C410" s="2"/>
      <c r="D410" s="56"/>
      <c r="E410" s="57"/>
      <c r="F410" s="58"/>
    </row>
    <row r="411" ht="16.5" customHeight="1">
      <c r="A411" s="55"/>
      <c r="C411" s="2"/>
      <c r="D411" s="56"/>
      <c r="E411" s="57"/>
      <c r="F411" s="58"/>
    </row>
    <row r="412" ht="16.5" customHeight="1">
      <c r="A412" s="55"/>
      <c r="C412" s="2"/>
      <c r="D412" s="56"/>
      <c r="E412" s="57"/>
      <c r="F412" s="58"/>
    </row>
    <row r="413" ht="16.5" customHeight="1">
      <c r="A413" s="55"/>
      <c r="C413" s="2"/>
      <c r="D413" s="56"/>
      <c r="E413" s="57"/>
      <c r="F413" s="58"/>
    </row>
    <row r="414" ht="16.5" customHeight="1">
      <c r="A414" s="55"/>
      <c r="C414" s="2"/>
      <c r="D414" s="56"/>
      <c r="E414" s="57"/>
      <c r="F414" s="58"/>
    </row>
    <row r="415" ht="16.5" customHeight="1">
      <c r="A415" s="55"/>
      <c r="C415" s="2"/>
      <c r="D415" s="56"/>
      <c r="E415" s="57"/>
      <c r="F415" s="58"/>
    </row>
    <row r="416" ht="16.5" customHeight="1">
      <c r="A416" s="55"/>
      <c r="C416" s="2"/>
      <c r="D416" s="56"/>
      <c r="E416" s="57"/>
      <c r="F416" s="58"/>
    </row>
    <row r="417" ht="16.5" customHeight="1">
      <c r="A417" s="55"/>
      <c r="C417" s="2"/>
      <c r="D417" s="56"/>
      <c r="E417" s="57"/>
      <c r="F417" s="58"/>
    </row>
    <row r="418" ht="16.5" customHeight="1">
      <c r="A418" s="55"/>
      <c r="C418" s="2"/>
      <c r="D418" s="56"/>
      <c r="E418" s="57"/>
      <c r="F418" s="58"/>
    </row>
    <row r="419" ht="16.5" customHeight="1">
      <c r="A419" s="55"/>
      <c r="C419" s="2"/>
      <c r="D419" s="56"/>
      <c r="E419" s="57"/>
      <c r="F419" s="58"/>
    </row>
    <row r="420" ht="16.5" customHeight="1">
      <c r="A420" s="55"/>
      <c r="C420" s="2"/>
      <c r="D420" s="56"/>
      <c r="E420" s="57"/>
      <c r="F420" s="58"/>
    </row>
    <row r="421" ht="16.5" customHeight="1">
      <c r="A421" s="55"/>
      <c r="C421" s="2"/>
      <c r="D421" s="56"/>
      <c r="E421" s="57"/>
      <c r="F421" s="58"/>
    </row>
    <row r="422" ht="16.5" customHeight="1">
      <c r="A422" s="55"/>
      <c r="C422" s="2"/>
      <c r="D422" s="56"/>
      <c r="E422" s="57"/>
      <c r="F422" s="58"/>
    </row>
    <row r="423" ht="16.5" customHeight="1">
      <c r="A423" s="55"/>
      <c r="C423" s="2"/>
      <c r="D423" s="56"/>
      <c r="E423" s="57"/>
      <c r="F423" s="58"/>
    </row>
    <row r="424" ht="16.5" customHeight="1">
      <c r="A424" s="55"/>
      <c r="C424" s="2"/>
      <c r="D424" s="56"/>
      <c r="E424" s="57"/>
      <c r="F424" s="58"/>
    </row>
    <row r="425" ht="16.5" customHeight="1">
      <c r="A425" s="55"/>
      <c r="C425" s="2"/>
      <c r="D425" s="56"/>
      <c r="E425" s="57"/>
      <c r="F425" s="58"/>
    </row>
    <row r="426" ht="16.5" customHeight="1">
      <c r="A426" s="55"/>
      <c r="C426" s="2"/>
      <c r="D426" s="56"/>
      <c r="E426" s="57"/>
      <c r="F426" s="58"/>
    </row>
    <row r="427" ht="16.5" customHeight="1">
      <c r="A427" s="55"/>
      <c r="C427" s="2"/>
      <c r="D427" s="56"/>
      <c r="E427" s="57"/>
      <c r="F427" s="58"/>
    </row>
    <row r="428" ht="16.5" customHeight="1">
      <c r="A428" s="55"/>
      <c r="C428" s="2"/>
      <c r="D428" s="56"/>
      <c r="E428" s="57"/>
      <c r="F428" s="58"/>
    </row>
    <row r="429" ht="16.5" customHeight="1">
      <c r="A429" s="55"/>
      <c r="C429" s="2"/>
      <c r="D429" s="56"/>
      <c r="E429" s="57"/>
      <c r="F429" s="58"/>
    </row>
    <row r="430" ht="16.5" customHeight="1">
      <c r="A430" s="55"/>
      <c r="C430" s="2"/>
      <c r="D430" s="56"/>
      <c r="E430" s="57"/>
      <c r="F430" s="58"/>
    </row>
    <row r="431" ht="16.5" customHeight="1">
      <c r="A431" s="55"/>
      <c r="C431" s="2"/>
      <c r="D431" s="56"/>
      <c r="E431" s="57"/>
      <c r="F431" s="58"/>
    </row>
    <row r="432" ht="16.5" customHeight="1">
      <c r="A432" s="55"/>
      <c r="C432" s="2"/>
      <c r="D432" s="56"/>
      <c r="E432" s="57"/>
      <c r="F432" s="58"/>
    </row>
    <row r="433" ht="16.5" customHeight="1">
      <c r="A433" s="55"/>
      <c r="C433" s="2"/>
      <c r="D433" s="56"/>
      <c r="E433" s="57"/>
      <c r="F433" s="58"/>
    </row>
    <row r="434" ht="16.5" customHeight="1">
      <c r="A434" s="55"/>
      <c r="C434" s="2"/>
      <c r="D434" s="56"/>
      <c r="E434" s="57"/>
      <c r="F434" s="58"/>
    </row>
    <row r="435" ht="16.5" customHeight="1">
      <c r="A435" s="55"/>
      <c r="C435" s="2"/>
      <c r="D435" s="56"/>
      <c r="E435" s="57"/>
      <c r="F435" s="58"/>
    </row>
    <row r="436" ht="16.5" customHeight="1">
      <c r="A436" s="55"/>
      <c r="C436" s="2"/>
      <c r="D436" s="56"/>
      <c r="E436" s="57"/>
      <c r="F436" s="58"/>
    </row>
    <row r="437" ht="16.5" customHeight="1">
      <c r="A437" s="55"/>
      <c r="C437" s="2"/>
      <c r="D437" s="56"/>
      <c r="E437" s="57"/>
      <c r="F437" s="58"/>
    </row>
    <row r="438" ht="16.5" customHeight="1">
      <c r="A438" s="55"/>
      <c r="C438" s="2"/>
      <c r="D438" s="56"/>
      <c r="E438" s="57"/>
      <c r="F438" s="58"/>
    </row>
    <row r="439" ht="16.5" customHeight="1">
      <c r="A439" s="55"/>
      <c r="C439" s="2"/>
      <c r="D439" s="56"/>
      <c r="E439" s="57"/>
      <c r="F439" s="58"/>
    </row>
    <row r="440" ht="16.5" customHeight="1">
      <c r="A440" s="55"/>
      <c r="C440" s="2"/>
      <c r="D440" s="56"/>
      <c r="E440" s="57"/>
      <c r="F440" s="58"/>
    </row>
    <row r="441" ht="16.5" customHeight="1">
      <c r="A441" s="55"/>
      <c r="C441" s="2"/>
      <c r="D441" s="56"/>
      <c r="E441" s="57"/>
      <c r="F441" s="58"/>
    </row>
    <row r="442" ht="16.5" customHeight="1">
      <c r="A442" s="55"/>
      <c r="C442" s="2"/>
      <c r="D442" s="56"/>
      <c r="E442" s="57"/>
      <c r="F442" s="58"/>
    </row>
    <row r="443" ht="16.5" customHeight="1">
      <c r="A443" s="55"/>
      <c r="C443" s="2"/>
      <c r="D443" s="56"/>
      <c r="E443" s="57"/>
      <c r="F443" s="58"/>
    </row>
    <row r="444" ht="16.5" customHeight="1">
      <c r="A444" s="55"/>
      <c r="C444" s="2"/>
      <c r="D444" s="56"/>
      <c r="E444" s="57"/>
      <c r="F444" s="58"/>
    </row>
    <row r="445" ht="16.5" customHeight="1">
      <c r="A445" s="55"/>
      <c r="C445" s="2"/>
      <c r="D445" s="56"/>
      <c r="E445" s="57"/>
      <c r="F445" s="58"/>
    </row>
    <row r="446" ht="16.5" customHeight="1">
      <c r="A446" s="55"/>
      <c r="C446" s="2"/>
      <c r="D446" s="56"/>
      <c r="E446" s="57"/>
      <c r="F446" s="58"/>
    </row>
    <row r="447" ht="16.5" customHeight="1">
      <c r="A447" s="55"/>
      <c r="C447" s="2"/>
      <c r="D447" s="56"/>
      <c r="E447" s="57"/>
      <c r="F447" s="58"/>
    </row>
    <row r="448" ht="16.5" customHeight="1">
      <c r="A448" s="55"/>
      <c r="C448" s="2"/>
      <c r="D448" s="56"/>
      <c r="E448" s="57"/>
      <c r="F448" s="58"/>
    </row>
    <row r="449" ht="16.5" customHeight="1">
      <c r="A449" s="55"/>
      <c r="C449" s="2"/>
      <c r="D449" s="56"/>
      <c r="E449" s="57"/>
      <c r="F449" s="58"/>
    </row>
    <row r="450" ht="16.5" customHeight="1">
      <c r="A450" s="55"/>
      <c r="C450" s="2"/>
      <c r="D450" s="56"/>
      <c r="E450" s="57"/>
      <c r="F450" s="58"/>
    </row>
    <row r="451" ht="16.5" customHeight="1">
      <c r="A451" s="55"/>
      <c r="C451" s="2"/>
      <c r="D451" s="56"/>
      <c r="E451" s="57"/>
      <c r="F451" s="58"/>
    </row>
    <row r="452" ht="16.5" customHeight="1">
      <c r="A452" s="55"/>
      <c r="C452" s="2"/>
      <c r="D452" s="56"/>
      <c r="E452" s="57"/>
      <c r="F452" s="58"/>
    </row>
    <row r="453" ht="16.5" customHeight="1">
      <c r="A453" s="55"/>
      <c r="C453" s="2"/>
      <c r="D453" s="56"/>
      <c r="E453" s="57"/>
      <c r="F453" s="58"/>
    </row>
    <row r="454" ht="16.5" customHeight="1">
      <c r="A454" s="55"/>
      <c r="C454" s="2"/>
      <c r="D454" s="56"/>
      <c r="E454" s="57"/>
      <c r="F454" s="58"/>
    </row>
    <row r="455" ht="16.5" customHeight="1">
      <c r="A455" s="55"/>
      <c r="C455" s="2"/>
      <c r="D455" s="56"/>
      <c r="E455" s="57"/>
      <c r="F455" s="58"/>
    </row>
    <row r="456" ht="16.5" customHeight="1">
      <c r="A456" s="55"/>
      <c r="C456" s="2"/>
      <c r="D456" s="56"/>
      <c r="E456" s="57"/>
      <c r="F456" s="58"/>
    </row>
    <row r="457" ht="16.5" customHeight="1">
      <c r="A457" s="55"/>
      <c r="C457" s="2"/>
      <c r="D457" s="56"/>
      <c r="E457" s="57"/>
      <c r="F457" s="58"/>
    </row>
    <row r="458" ht="16.5" customHeight="1">
      <c r="A458" s="55"/>
      <c r="C458" s="2"/>
      <c r="D458" s="56"/>
      <c r="E458" s="57"/>
      <c r="F458" s="58"/>
    </row>
    <row r="459" ht="16.5" customHeight="1">
      <c r="A459" s="55"/>
      <c r="C459" s="2"/>
      <c r="D459" s="56"/>
      <c r="E459" s="57"/>
      <c r="F459" s="58"/>
    </row>
    <row r="460" ht="16.5" customHeight="1">
      <c r="A460" s="55"/>
      <c r="C460" s="2"/>
      <c r="D460" s="56"/>
      <c r="E460" s="57"/>
      <c r="F460" s="58"/>
    </row>
    <row r="461" ht="16.5" customHeight="1">
      <c r="A461" s="55"/>
      <c r="C461" s="2"/>
      <c r="D461" s="56"/>
      <c r="E461" s="57"/>
      <c r="F461" s="58"/>
    </row>
    <row r="462" ht="16.5" customHeight="1">
      <c r="A462" s="55"/>
      <c r="C462" s="2"/>
      <c r="D462" s="56"/>
      <c r="E462" s="57"/>
      <c r="F462" s="58"/>
    </row>
    <row r="463" ht="16.5" customHeight="1">
      <c r="A463" s="55"/>
      <c r="C463" s="2"/>
      <c r="D463" s="56"/>
      <c r="E463" s="57"/>
      <c r="F463" s="58"/>
    </row>
    <row r="464" ht="16.5" customHeight="1">
      <c r="A464" s="55"/>
      <c r="C464" s="2"/>
      <c r="D464" s="56"/>
      <c r="E464" s="57"/>
      <c r="F464" s="58"/>
    </row>
    <row r="465" ht="16.5" customHeight="1">
      <c r="A465" s="55"/>
      <c r="C465" s="2"/>
      <c r="D465" s="56"/>
      <c r="E465" s="57"/>
      <c r="F465" s="58"/>
    </row>
    <row r="466" ht="16.5" customHeight="1">
      <c r="A466" s="55"/>
      <c r="C466" s="2"/>
      <c r="D466" s="56"/>
      <c r="E466" s="57"/>
      <c r="F466" s="58"/>
    </row>
    <row r="467" ht="16.5" customHeight="1">
      <c r="A467" s="55"/>
      <c r="C467" s="2"/>
      <c r="D467" s="56"/>
      <c r="E467" s="57"/>
      <c r="F467" s="58"/>
    </row>
    <row r="468" ht="16.5" customHeight="1">
      <c r="A468" s="55"/>
      <c r="C468" s="2"/>
      <c r="D468" s="56"/>
      <c r="E468" s="57"/>
      <c r="F468" s="58"/>
    </row>
    <row r="469" ht="16.5" customHeight="1">
      <c r="A469" s="55"/>
      <c r="C469" s="2"/>
      <c r="D469" s="56"/>
      <c r="E469" s="57"/>
      <c r="F469" s="58"/>
    </row>
    <row r="470" ht="16.5" customHeight="1">
      <c r="A470" s="55"/>
      <c r="C470" s="2"/>
      <c r="D470" s="56"/>
      <c r="E470" s="57"/>
      <c r="F470" s="58"/>
    </row>
    <row r="471" ht="16.5" customHeight="1">
      <c r="A471" s="55"/>
      <c r="C471" s="2"/>
      <c r="D471" s="56"/>
      <c r="E471" s="57"/>
      <c r="F471" s="58"/>
    </row>
    <row r="472" ht="16.5" customHeight="1">
      <c r="A472" s="55"/>
      <c r="C472" s="2"/>
      <c r="D472" s="56"/>
      <c r="E472" s="57"/>
      <c r="F472" s="58"/>
    </row>
    <row r="473" ht="16.5" customHeight="1">
      <c r="A473" s="55"/>
      <c r="C473" s="2"/>
      <c r="D473" s="56"/>
      <c r="E473" s="57"/>
      <c r="F473" s="58"/>
    </row>
    <row r="474" ht="16.5" customHeight="1">
      <c r="A474" s="55"/>
      <c r="C474" s="2"/>
      <c r="D474" s="56"/>
      <c r="E474" s="57"/>
      <c r="F474" s="58"/>
    </row>
    <row r="475" ht="16.5" customHeight="1">
      <c r="A475" s="55"/>
      <c r="C475" s="2"/>
      <c r="D475" s="56"/>
      <c r="E475" s="57"/>
      <c r="F475" s="58"/>
    </row>
    <row r="476" ht="16.5" customHeight="1">
      <c r="A476" s="55"/>
      <c r="C476" s="2"/>
      <c r="D476" s="56"/>
      <c r="E476" s="57"/>
      <c r="F476" s="58"/>
    </row>
    <row r="477" ht="16.5" customHeight="1">
      <c r="A477" s="55"/>
      <c r="C477" s="2"/>
      <c r="D477" s="56"/>
      <c r="E477" s="57"/>
      <c r="F477" s="58"/>
    </row>
    <row r="478" ht="16.5" customHeight="1">
      <c r="A478" s="55"/>
      <c r="C478" s="2"/>
      <c r="D478" s="56"/>
      <c r="E478" s="57"/>
      <c r="F478" s="58"/>
    </row>
    <row r="479" ht="16.5" customHeight="1">
      <c r="A479" s="55"/>
      <c r="C479" s="2"/>
      <c r="D479" s="56"/>
      <c r="E479" s="57"/>
      <c r="F479" s="58"/>
    </row>
    <row r="480" ht="16.5" customHeight="1">
      <c r="A480" s="55"/>
      <c r="C480" s="2"/>
      <c r="D480" s="56"/>
      <c r="E480" s="57"/>
      <c r="F480" s="58"/>
    </row>
    <row r="481" ht="16.5" customHeight="1">
      <c r="A481" s="55"/>
      <c r="C481" s="2"/>
      <c r="D481" s="56"/>
      <c r="E481" s="57"/>
      <c r="F481" s="58"/>
    </row>
    <row r="482" ht="16.5" customHeight="1">
      <c r="A482" s="55"/>
      <c r="C482" s="2"/>
      <c r="D482" s="56"/>
      <c r="E482" s="57"/>
      <c r="F482" s="58"/>
    </row>
    <row r="483" ht="16.5" customHeight="1">
      <c r="A483" s="55"/>
      <c r="C483" s="2"/>
      <c r="D483" s="56"/>
      <c r="E483" s="57"/>
      <c r="F483" s="58"/>
    </row>
    <row r="484" ht="16.5" customHeight="1">
      <c r="A484" s="55"/>
      <c r="C484" s="2"/>
      <c r="D484" s="56"/>
      <c r="E484" s="57"/>
      <c r="F484" s="58"/>
    </row>
    <row r="485" ht="16.5" customHeight="1">
      <c r="A485" s="55"/>
      <c r="C485" s="2"/>
      <c r="D485" s="56"/>
      <c r="E485" s="57"/>
      <c r="F485" s="58"/>
    </row>
    <row r="486" ht="16.5" customHeight="1">
      <c r="A486" s="55"/>
      <c r="C486" s="2"/>
      <c r="D486" s="56"/>
      <c r="E486" s="57"/>
      <c r="F486" s="58"/>
    </row>
    <row r="487" ht="16.5" customHeight="1">
      <c r="A487" s="55"/>
      <c r="C487" s="2"/>
      <c r="D487" s="56"/>
      <c r="E487" s="57"/>
      <c r="F487" s="58"/>
    </row>
    <row r="488" ht="16.5" customHeight="1">
      <c r="A488" s="55"/>
      <c r="C488" s="2"/>
      <c r="D488" s="56"/>
      <c r="E488" s="57"/>
      <c r="F488" s="58"/>
    </row>
    <row r="489" ht="16.5" customHeight="1">
      <c r="A489" s="55"/>
      <c r="C489" s="2"/>
      <c r="D489" s="56"/>
      <c r="E489" s="57"/>
      <c r="F489" s="58"/>
    </row>
    <row r="490" ht="16.5" customHeight="1">
      <c r="A490" s="55"/>
      <c r="C490" s="2"/>
      <c r="D490" s="56"/>
      <c r="E490" s="57"/>
      <c r="F490" s="58"/>
    </row>
    <row r="491" ht="16.5" customHeight="1">
      <c r="A491" s="55"/>
      <c r="C491" s="2"/>
      <c r="D491" s="56"/>
      <c r="E491" s="57"/>
      <c r="F491" s="58"/>
    </row>
    <row r="492" ht="16.5" customHeight="1">
      <c r="A492" s="55"/>
      <c r="C492" s="2"/>
      <c r="D492" s="56"/>
      <c r="E492" s="57"/>
      <c r="F492" s="58"/>
    </row>
    <row r="493" ht="16.5" customHeight="1">
      <c r="A493" s="55"/>
      <c r="C493" s="2"/>
      <c r="D493" s="56"/>
      <c r="E493" s="57"/>
      <c r="F493" s="58"/>
    </row>
    <row r="494" ht="16.5" customHeight="1">
      <c r="A494" s="55"/>
      <c r="C494" s="2"/>
      <c r="D494" s="56"/>
      <c r="E494" s="57"/>
      <c r="F494" s="58"/>
    </row>
    <row r="495" ht="16.5" customHeight="1">
      <c r="A495" s="55"/>
      <c r="C495" s="2"/>
      <c r="D495" s="56"/>
      <c r="E495" s="57"/>
      <c r="F495" s="58"/>
    </row>
    <row r="496" ht="16.5" customHeight="1">
      <c r="A496" s="55"/>
      <c r="C496" s="2"/>
      <c r="D496" s="56"/>
      <c r="E496" s="57"/>
      <c r="F496" s="58"/>
    </row>
    <row r="497" ht="16.5" customHeight="1">
      <c r="A497" s="55"/>
      <c r="C497" s="2"/>
      <c r="D497" s="56"/>
      <c r="E497" s="57"/>
      <c r="F497" s="58"/>
    </row>
    <row r="498" ht="16.5" customHeight="1">
      <c r="A498" s="55"/>
      <c r="C498" s="2"/>
      <c r="D498" s="56"/>
      <c r="E498" s="57"/>
      <c r="F498" s="58"/>
    </row>
    <row r="499" ht="16.5" customHeight="1">
      <c r="A499" s="55"/>
      <c r="C499" s="2"/>
      <c r="D499" s="56"/>
      <c r="E499" s="57"/>
      <c r="F499" s="58"/>
    </row>
    <row r="500" ht="16.5" customHeight="1">
      <c r="A500" s="55"/>
      <c r="C500" s="2"/>
      <c r="D500" s="56"/>
      <c r="E500" s="57"/>
      <c r="F500" s="58"/>
    </row>
    <row r="501" ht="16.5" customHeight="1">
      <c r="A501" s="55"/>
      <c r="C501" s="2"/>
      <c r="D501" s="56"/>
      <c r="E501" s="57"/>
      <c r="F501" s="58"/>
    </row>
    <row r="502" ht="16.5" customHeight="1">
      <c r="A502" s="55"/>
      <c r="C502" s="2"/>
      <c r="D502" s="56"/>
      <c r="E502" s="57"/>
      <c r="F502" s="58"/>
    </row>
    <row r="503" ht="16.5" customHeight="1">
      <c r="A503" s="55"/>
      <c r="C503" s="2"/>
      <c r="D503" s="56"/>
      <c r="E503" s="57"/>
      <c r="F503" s="58"/>
    </row>
    <row r="504" ht="16.5" customHeight="1">
      <c r="A504" s="55"/>
      <c r="C504" s="2"/>
      <c r="D504" s="56"/>
      <c r="E504" s="57"/>
      <c r="F504" s="58"/>
    </row>
    <row r="505" ht="16.5" customHeight="1">
      <c r="A505" s="55"/>
      <c r="C505" s="2"/>
      <c r="D505" s="56"/>
      <c r="E505" s="57"/>
      <c r="F505" s="58"/>
    </row>
    <row r="506" ht="16.5" customHeight="1">
      <c r="A506" s="55"/>
      <c r="C506" s="2"/>
      <c r="D506" s="56"/>
      <c r="E506" s="57"/>
      <c r="F506" s="58"/>
    </row>
    <row r="507" ht="16.5" customHeight="1">
      <c r="A507" s="55"/>
      <c r="C507" s="2"/>
      <c r="D507" s="56"/>
      <c r="E507" s="57"/>
      <c r="F507" s="58"/>
    </row>
    <row r="508" ht="16.5" customHeight="1">
      <c r="A508" s="55"/>
      <c r="C508" s="2"/>
      <c r="D508" s="56"/>
      <c r="E508" s="57"/>
      <c r="F508" s="58"/>
    </row>
    <row r="509" ht="16.5" customHeight="1">
      <c r="A509" s="55"/>
      <c r="C509" s="2"/>
      <c r="D509" s="56"/>
      <c r="E509" s="57"/>
      <c r="F509" s="58"/>
    </row>
    <row r="510" ht="16.5" customHeight="1">
      <c r="A510" s="55"/>
      <c r="C510" s="2"/>
      <c r="D510" s="56"/>
      <c r="E510" s="57"/>
      <c r="F510" s="58"/>
    </row>
    <row r="511" ht="16.5" customHeight="1">
      <c r="A511" s="55"/>
      <c r="C511" s="2"/>
      <c r="D511" s="56"/>
      <c r="E511" s="57"/>
      <c r="F511" s="58"/>
    </row>
    <row r="512" ht="16.5" customHeight="1">
      <c r="A512" s="55"/>
      <c r="C512" s="2"/>
      <c r="D512" s="56"/>
      <c r="E512" s="57"/>
      <c r="F512" s="58"/>
    </row>
    <row r="513" ht="16.5" customHeight="1">
      <c r="A513" s="55"/>
      <c r="C513" s="2"/>
      <c r="D513" s="56"/>
      <c r="E513" s="57"/>
      <c r="F513" s="58"/>
    </row>
    <row r="514" ht="16.5" customHeight="1">
      <c r="A514" s="55"/>
      <c r="C514" s="2"/>
      <c r="D514" s="56"/>
      <c r="E514" s="57"/>
      <c r="F514" s="58"/>
    </row>
    <row r="515" ht="16.5" customHeight="1">
      <c r="A515" s="55"/>
      <c r="C515" s="2"/>
      <c r="D515" s="56"/>
      <c r="E515" s="57"/>
      <c r="F515" s="58"/>
    </row>
    <row r="516" ht="16.5" customHeight="1">
      <c r="A516" s="55"/>
      <c r="C516" s="2"/>
      <c r="D516" s="56"/>
      <c r="E516" s="57"/>
      <c r="F516" s="58"/>
    </row>
    <row r="517" ht="16.5" customHeight="1">
      <c r="A517" s="55"/>
      <c r="C517" s="2"/>
      <c r="D517" s="56"/>
      <c r="E517" s="57"/>
      <c r="F517" s="58"/>
    </row>
    <row r="518" ht="16.5" customHeight="1">
      <c r="A518" s="55"/>
      <c r="C518" s="2"/>
      <c r="D518" s="56"/>
      <c r="E518" s="57"/>
      <c r="F518" s="58"/>
    </row>
    <row r="519" ht="16.5" customHeight="1">
      <c r="A519" s="55"/>
      <c r="C519" s="2"/>
      <c r="D519" s="56"/>
      <c r="E519" s="57"/>
      <c r="F519" s="58"/>
    </row>
    <row r="520" ht="16.5" customHeight="1">
      <c r="A520" s="55"/>
      <c r="C520" s="2"/>
      <c r="D520" s="56"/>
      <c r="E520" s="57"/>
      <c r="F520" s="58"/>
    </row>
    <row r="521" ht="16.5" customHeight="1">
      <c r="A521" s="55"/>
      <c r="C521" s="2"/>
      <c r="D521" s="56"/>
      <c r="E521" s="57"/>
      <c r="F521" s="58"/>
    </row>
    <row r="522" ht="16.5" customHeight="1">
      <c r="A522" s="55"/>
      <c r="C522" s="2"/>
      <c r="D522" s="56"/>
      <c r="E522" s="57"/>
      <c r="F522" s="58"/>
    </row>
    <row r="523" ht="16.5" customHeight="1">
      <c r="A523" s="55"/>
      <c r="C523" s="2"/>
      <c r="D523" s="56"/>
      <c r="E523" s="57"/>
      <c r="F523" s="58"/>
    </row>
    <row r="524" ht="16.5" customHeight="1">
      <c r="A524" s="55"/>
      <c r="C524" s="2"/>
      <c r="D524" s="56"/>
      <c r="E524" s="57"/>
      <c r="F524" s="58"/>
    </row>
    <row r="525" ht="16.5" customHeight="1">
      <c r="A525" s="55"/>
      <c r="C525" s="2"/>
      <c r="D525" s="56"/>
      <c r="E525" s="57"/>
      <c r="F525" s="58"/>
    </row>
    <row r="526" ht="16.5" customHeight="1">
      <c r="A526" s="55"/>
      <c r="C526" s="2"/>
      <c r="D526" s="56"/>
      <c r="E526" s="57"/>
      <c r="F526" s="58"/>
    </row>
    <row r="527" ht="16.5" customHeight="1">
      <c r="A527" s="55"/>
      <c r="C527" s="2"/>
      <c r="D527" s="56"/>
      <c r="E527" s="57"/>
      <c r="F527" s="58"/>
    </row>
    <row r="528" ht="16.5" customHeight="1">
      <c r="A528" s="55"/>
      <c r="C528" s="2"/>
      <c r="D528" s="56"/>
      <c r="E528" s="57"/>
      <c r="F528" s="58"/>
    </row>
    <row r="529" ht="16.5" customHeight="1">
      <c r="A529" s="55"/>
      <c r="C529" s="2"/>
      <c r="D529" s="56"/>
      <c r="E529" s="57"/>
      <c r="F529" s="58"/>
    </row>
    <row r="530" ht="16.5" customHeight="1">
      <c r="A530" s="55"/>
      <c r="C530" s="2"/>
      <c r="D530" s="56"/>
      <c r="E530" s="57"/>
      <c r="F530" s="58"/>
    </row>
    <row r="531" ht="16.5" customHeight="1">
      <c r="A531" s="55"/>
      <c r="C531" s="2"/>
      <c r="D531" s="56"/>
      <c r="E531" s="57"/>
      <c r="F531" s="58"/>
    </row>
    <row r="532" ht="16.5" customHeight="1">
      <c r="A532" s="55"/>
      <c r="C532" s="2"/>
      <c r="D532" s="56"/>
      <c r="E532" s="57"/>
      <c r="F532" s="58"/>
    </row>
    <row r="533" ht="16.5" customHeight="1">
      <c r="A533" s="55"/>
      <c r="C533" s="2"/>
      <c r="D533" s="56"/>
      <c r="E533" s="57"/>
      <c r="F533" s="58"/>
    </row>
    <row r="534" ht="16.5" customHeight="1">
      <c r="A534" s="55"/>
      <c r="C534" s="2"/>
      <c r="D534" s="56"/>
      <c r="E534" s="57"/>
      <c r="F534" s="58"/>
    </row>
    <row r="535" ht="16.5" customHeight="1">
      <c r="A535" s="55"/>
      <c r="C535" s="2"/>
      <c r="D535" s="56"/>
      <c r="E535" s="57"/>
      <c r="F535" s="58"/>
    </row>
    <row r="536" ht="16.5" customHeight="1">
      <c r="A536" s="55"/>
      <c r="C536" s="2"/>
      <c r="D536" s="56"/>
      <c r="E536" s="57"/>
      <c r="F536" s="58"/>
    </row>
    <row r="537" ht="16.5" customHeight="1">
      <c r="A537" s="55"/>
      <c r="C537" s="2"/>
      <c r="D537" s="56"/>
      <c r="E537" s="57"/>
      <c r="F537" s="58"/>
    </row>
    <row r="538" ht="16.5" customHeight="1">
      <c r="A538" s="55"/>
      <c r="C538" s="2"/>
      <c r="D538" s="56"/>
      <c r="E538" s="57"/>
      <c r="F538" s="58"/>
    </row>
    <row r="539" ht="16.5" customHeight="1">
      <c r="A539" s="55"/>
      <c r="C539" s="2"/>
      <c r="D539" s="56"/>
      <c r="E539" s="57"/>
      <c r="F539" s="58"/>
    </row>
    <row r="540" ht="16.5" customHeight="1">
      <c r="A540" s="55"/>
      <c r="C540" s="2"/>
      <c r="D540" s="56"/>
      <c r="E540" s="57"/>
      <c r="F540" s="58"/>
    </row>
    <row r="541" ht="16.5" customHeight="1">
      <c r="A541" s="55"/>
      <c r="C541" s="2"/>
      <c r="D541" s="56"/>
      <c r="E541" s="57"/>
      <c r="F541" s="58"/>
    </row>
    <row r="542" ht="16.5" customHeight="1">
      <c r="A542" s="55"/>
      <c r="C542" s="2"/>
      <c r="D542" s="56"/>
      <c r="E542" s="57"/>
      <c r="F542" s="58"/>
    </row>
    <row r="543" ht="16.5" customHeight="1">
      <c r="A543" s="55"/>
      <c r="C543" s="2"/>
      <c r="D543" s="56"/>
      <c r="E543" s="57"/>
      <c r="F543" s="58"/>
    </row>
    <row r="544" ht="16.5" customHeight="1">
      <c r="A544" s="55"/>
      <c r="C544" s="2"/>
      <c r="D544" s="56"/>
      <c r="E544" s="57"/>
      <c r="F544" s="58"/>
    </row>
    <row r="545" ht="16.5" customHeight="1">
      <c r="A545" s="55"/>
      <c r="C545" s="2"/>
      <c r="D545" s="56"/>
      <c r="E545" s="57"/>
      <c r="F545" s="58"/>
    </row>
    <row r="546" ht="16.5" customHeight="1">
      <c r="A546" s="55"/>
      <c r="C546" s="2"/>
      <c r="D546" s="56"/>
      <c r="E546" s="57"/>
      <c r="F546" s="58"/>
    </row>
    <row r="547" ht="16.5" customHeight="1">
      <c r="A547" s="55"/>
      <c r="C547" s="2"/>
      <c r="D547" s="56"/>
      <c r="E547" s="57"/>
      <c r="F547" s="58"/>
    </row>
    <row r="548" ht="16.5" customHeight="1">
      <c r="A548" s="55"/>
      <c r="C548" s="2"/>
      <c r="D548" s="56"/>
      <c r="E548" s="57"/>
      <c r="F548" s="58"/>
    </row>
    <row r="549" ht="16.5" customHeight="1">
      <c r="A549" s="55"/>
      <c r="C549" s="2"/>
      <c r="D549" s="56"/>
      <c r="E549" s="57"/>
      <c r="F549" s="58"/>
    </row>
    <row r="550" ht="16.5" customHeight="1">
      <c r="A550" s="55"/>
      <c r="C550" s="2"/>
      <c r="D550" s="56"/>
      <c r="E550" s="57"/>
      <c r="F550" s="58"/>
    </row>
    <row r="551" ht="16.5" customHeight="1">
      <c r="A551" s="55"/>
      <c r="C551" s="2"/>
      <c r="D551" s="56"/>
      <c r="E551" s="57"/>
      <c r="F551" s="58"/>
    </row>
    <row r="552" ht="16.5" customHeight="1">
      <c r="A552" s="55"/>
      <c r="C552" s="2"/>
      <c r="D552" s="56"/>
      <c r="E552" s="57"/>
      <c r="F552" s="58"/>
    </row>
    <row r="553" ht="16.5" customHeight="1">
      <c r="A553" s="55"/>
      <c r="C553" s="2"/>
      <c r="D553" s="56"/>
      <c r="E553" s="57"/>
      <c r="F553" s="58"/>
    </row>
    <row r="554" ht="16.5" customHeight="1">
      <c r="A554" s="55"/>
      <c r="C554" s="2"/>
      <c r="D554" s="56"/>
      <c r="E554" s="57"/>
      <c r="F554" s="58"/>
    </row>
    <row r="555" ht="16.5" customHeight="1">
      <c r="A555" s="55"/>
      <c r="C555" s="2"/>
      <c r="D555" s="56"/>
      <c r="E555" s="57"/>
      <c r="F555" s="58"/>
    </row>
    <row r="556" ht="16.5" customHeight="1">
      <c r="A556" s="55"/>
      <c r="C556" s="2"/>
      <c r="D556" s="56"/>
      <c r="E556" s="57"/>
      <c r="F556" s="58"/>
    </row>
    <row r="557" ht="16.5" customHeight="1">
      <c r="A557" s="55"/>
      <c r="C557" s="2"/>
      <c r="D557" s="56"/>
      <c r="E557" s="57"/>
      <c r="F557" s="58"/>
    </row>
    <row r="558" ht="16.5" customHeight="1">
      <c r="A558" s="55"/>
      <c r="C558" s="2"/>
      <c r="D558" s="56"/>
      <c r="E558" s="57"/>
      <c r="F558" s="58"/>
    </row>
    <row r="559" ht="16.5" customHeight="1">
      <c r="A559" s="55"/>
      <c r="C559" s="2"/>
      <c r="D559" s="56"/>
      <c r="E559" s="57"/>
      <c r="F559" s="58"/>
    </row>
    <row r="560" ht="16.5" customHeight="1">
      <c r="A560" s="55"/>
      <c r="C560" s="2"/>
      <c r="D560" s="56"/>
      <c r="E560" s="57"/>
      <c r="F560" s="58"/>
    </row>
    <row r="561" ht="16.5" customHeight="1">
      <c r="A561" s="55"/>
      <c r="C561" s="2"/>
      <c r="D561" s="56"/>
      <c r="E561" s="57"/>
      <c r="F561" s="58"/>
    </row>
    <row r="562" ht="16.5" customHeight="1">
      <c r="A562" s="55"/>
      <c r="C562" s="2"/>
      <c r="D562" s="56"/>
      <c r="E562" s="57"/>
      <c r="F562" s="58"/>
    </row>
    <row r="563" ht="16.5" customHeight="1">
      <c r="A563" s="55"/>
      <c r="C563" s="2"/>
      <c r="D563" s="56"/>
      <c r="E563" s="57"/>
      <c r="F563" s="58"/>
    </row>
    <row r="564" ht="16.5" customHeight="1">
      <c r="A564" s="55"/>
      <c r="C564" s="2"/>
      <c r="D564" s="56"/>
      <c r="E564" s="57"/>
      <c r="F564" s="58"/>
    </row>
    <row r="565" ht="16.5" customHeight="1">
      <c r="A565" s="55"/>
      <c r="C565" s="2"/>
      <c r="D565" s="56"/>
      <c r="E565" s="57"/>
      <c r="F565" s="58"/>
    </row>
    <row r="566" ht="16.5" customHeight="1">
      <c r="A566" s="55"/>
      <c r="C566" s="2"/>
      <c r="D566" s="56"/>
      <c r="E566" s="57"/>
      <c r="F566" s="58"/>
    </row>
    <row r="567" ht="16.5" customHeight="1">
      <c r="A567" s="55"/>
      <c r="C567" s="2"/>
      <c r="D567" s="56"/>
      <c r="E567" s="57"/>
      <c r="F567" s="58"/>
    </row>
    <row r="568" ht="16.5" customHeight="1">
      <c r="A568" s="55"/>
      <c r="C568" s="2"/>
      <c r="D568" s="56"/>
      <c r="E568" s="57"/>
      <c r="F568" s="58"/>
    </row>
    <row r="569" ht="16.5" customHeight="1">
      <c r="A569" s="55"/>
      <c r="C569" s="2"/>
      <c r="D569" s="56"/>
      <c r="E569" s="57"/>
      <c r="F569" s="58"/>
    </row>
    <row r="570" ht="16.5" customHeight="1">
      <c r="A570" s="55"/>
      <c r="C570" s="2"/>
      <c r="D570" s="56"/>
      <c r="E570" s="57"/>
      <c r="F570" s="58"/>
    </row>
    <row r="571" ht="16.5" customHeight="1">
      <c r="A571" s="55"/>
      <c r="C571" s="2"/>
      <c r="D571" s="56"/>
      <c r="E571" s="57"/>
      <c r="F571" s="58"/>
    </row>
    <row r="572" ht="16.5" customHeight="1">
      <c r="A572" s="55"/>
      <c r="C572" s="2"/>
      <c r="D572" s="56"/>
      <c r="E572" s="57"/>
      <c r="F572" s="58"/>
    </row>
    <row r="573" ht="16.5" customHeight="1">
      <c r="A573" s="55"/>
      <c r="C573" s="2"/>
      <c r="D573" s="56"/>
      <c r="E573" s="57"/>
      <c r="F573" s="58"/>
    </row>
    <row r="574" ht="16.5" customHeight="1">
      <c r="A574" s="55"/>
      <c r="C574" s="2"/>
      <c r="D574" s="56"/>
      <c r="E574" s="57"/>
      <c r="F574" s="58"/>
    </row>
    <row r="575" ht="16.5" customHeight="1">
      <c r="A575" s="55"/>
      <c r="C575" s="2"/>
      <c r="D575" s="56"/>
      <c r="E575" s="57"/>
      <c r="F575" s="58"/>
    </row>
    <row r="576" ht="16.5" customHeight="1">
      <c r="A576" s="55"/>
      <c r="C576" s="2"/>
      <c r="D576" s="56"/>
      <c r="E576" s="57"/>
      <c r="F576" s="58"/>
    </row>
    <row r="577" ht="16.5" customHeight="1">
      <c r="A577" s="55"/>
      <c r="C577" s="2"/>
      <c r="D577" s="56"/>
      <c r="E577" s="57"/>
      <c r="F577" s="58"/>
    </row>
    <row r="578" ht="16.5" customHeight="1">
      <c r="A578" s="55"/>
      <c r="C578" s="2"/>
      <c r="D578" s="56"/>
      <c r="E578" s="57"/>
      <c r="F578" s="58"/>
    </row>
    <row r="579" ht="16.5" customHeight="1">
      <c r="A579" s="55"/>
      <c r="C579" s="2"/>
      <c r="D579" s="56"/>
      <c r="E579" s="57"/>
      <c r="F579" s="58"/>
    </row>
    <row r="580" ht="16.5" customHeight="1">
      <c r="A580" s="55"/>
      <c r="C580" s="2"/>
      <c r="D580" s="56"/>
      <c r="E580" s="57"/>
      <c r="F580" s="58"/>
    </row>
    <row r="581" ht="16.5" customHeight="1">
      <c r="A581" s="55"/>
      <c r="C581" s="2"/>
      <c r="D581" s="56"/>
      <c r="E581" s="57"/>
      <c r="F581" s="58"/>
    </row>
    <row r="582" ht="16.5" customHeight="1">
      <c r="A582" s="55"/>
      <c r="C582" s="2"/>
      <c r="D582" s="56"/>
      <c r="E582" s="57"/>
      <c r="F582" s="58"/>
    </row>
    <row r="583" ht="16.5" customHeight="1">
      <c r="A583" s="55"/>
      <c r="C583" s="2"/>
      <c r="D583" s="56"/>
      <c r="E583" s="57"/>
      <c r="F583" s="58"/>
    </row>
    <row r="584" ht="16.5" customHeight="1">
      <c r="A584" s="55"/>
      <c r="C584" s="2"/>
      <c r="D584" s="56"/>
      <c r="E584" s="57"/>
      <c r="F584" s="58"/>
    </row>
    <row r="585" ht="16.5" customHeight="1">
      <c r="A585" s="55"/>
      <c r="C585" s="2"/>
      <c r="D585" s="56"/>
      <c r="E585" s="57"/>
      <c r="F585" s="58"/>
    </row>
    <row r="586" ht="16.5" customHeight="1">
      <c r="A586" s="55"/>
      <c r="C586" s="2"/>
      <c r="D586" s="56"/>
      <c r="E586" s="57"/>
      <c r="F586" s="58"/>
    </row>
    <row r="587" ht="16.5" customHeight="1">
      <c r="A587" s="55"/>
      <c r="C587" s="2"/>
      <c r="D587" s="56"/>
      <c r="E587" s="57"/>
      <c r="F587" s="58"/>
    </row>
    <row r="588" ht="16.5" customHeight="1">
      <c r="A588" s="55"/>
      <c r="C588" s="2"/>
      <c r="D588" s="56"/>
      <c r="E588" s="57"/>
      <c r="F588" s="58"/>
    </row>
    <row r="589" ht="16.5" customHeight="1">
      <c r="A589" s="55"/>
      <c r="C589" s="2"/>
      <c r="D589" s="56"/>
      <c r="E589" s="57"/>
      <c r="F589" s="58"/>
    </row>
    <row r="590" ht="16.5" customHeight="1">
      <c r="A590" s="55"/>
      <c r="C590" s="2"/>
      <c r="D590" s="56"/>
      <c r="E590" s="57"/>
      <c r="F590" s="58"/>
    </row>
    <row r="591" ht="16.5" customHeight="1">
      <c r="A591" s="55"/>
      <c r="C591" s="2"/>
      <c r="D591" s="56"/>
      <c r="E591" s="57"/>
      <c r="F591" s="58"/>
    </row>
    <row r="592" ht="16.5" customHeight="1">
      <c r="A592" s="55"/>
      <c r="C592" s="2"/>
      <c r="D592" s="56"/>
      <c r="E592" s="57"/>
      <c r="F592" s="58"/>
    </row>
    <row r="593" ht="16.5" customHeight="1">
      <c r="A593" s="55"/>
      <c r="C593" s="2"/>
      <c r="D593" s="56"/>
      <c r="E593" s="57"/>
      <c r="F593" s="58"/>
    </row>
    <row r="594" ht="16.5" customHeight="1">
      <c r="A594" s="55"/>
      <c r="C594" s="2"/>
      <c r="D594" s="56"/>
      <c r="E594" s="57"/>
      <c r="F594" s="58"/>
    </row>
    <row r="595" ht="16.5" customHeight="1">
      <c r="A595" s="55"/>
      <c r="C595" s="2"/>
      <c r="D595" s="56"/>
      <c r="E595" s="57"/>
      <c r="F595" s="58"/>
    </row>
    <row r="596" ht="16.5" customHeight="1">
      <c r="A596" s="55"/>
      <c r="C596" s="2"/>
      <c r="D596" s="56"/>
      <c r="E596" s="57"/>
      <c r="F596" s="58"/>
    </row>
    <row r="597" ht="16.5" customHeight="1">
      <c r="A597" s="55"/>
      <c r="C597" s="2"/>
      <c r="D597" s="56"/>
      <c r="E597" s="57"/>
      <c r="F597" s="58"/>
    </row>
    <row r="598" ht="16.5" customHeight="1">
      <c r="A598" s="55"/>
      <c r="C598" s="2"/>
      <c r="D598" s="56"/>
      <c r="E598" s="57"/>
      <c r="F598" s="58"/>
    </row>
    <row r="599" ht="16.5" customHeight="1">
      <c r="A599" s="55"/>
      <c r="C599" s="2"/>
      <c r="D599" s="56"/>
      <c r="E599" s="57"/>
      <c r="F599" s="58"/>
    </row>
    <row r="600" ht="16.5" customHeight="1">
      <c r="A600" s="55"/>
      <c r="C600" s="2"/>
      <c r="D600" s="56"/>
      <c r="E600" s="57"/>
      <c r="F600" s="58"/>
    </row>
    <row r="601" ht="16.5" customHeight="1">
      <c r="A601" s="55"/>
      <c r="C601" s="2"/>
      <c r="D601" s="56"/>
      <c r="E601" s="57"/>
      <c r="F601" s="58"/>
    </row>
    <row r="602" ht="16.5" customHeight="1">
      <c r="A602" s="55"/>
      <c r="C602" s="2"/>
      <c r="D602" s="56"/>
      <c r="E602" s="57"/>
      <c r="F602" s="58"/>
    </row>
    <row r="603" ht="16.5" customHeight="1">
      <c r="A603" s="55"/>
      <c r="C603" s="2"/>
      <c r="D603" s="56"/>
      <c r="E603" s="57"/>
      <c r="F603" s="58"/>
    </row>
    <row r="604" ht="16.5" customHeight="1">
      <c r="A604" s="55"/>
      <c r="C604" s="2"/>
      <c r="D604" s="56"/>
      <c r="E604" s="57"/>
      <c r="F604" s="58"/>
    </row>
    <row r="605" ht="16.5" customHeight="1">
      <c r="A605" s="55"/>
      <c r="C605" s="2"/>
      <c r="D605" s="56"/>
      <c r="E605" s="57"/>
      <c r="F605" s="58"/>
    </row>
    <row r="606" ht="16.5" customHeight="1">
      <c r="A606" s="55"/>
      <c r="C606" s="2"/>
      <c r="D606" s="56"/>
      <c r="E606" s="57"/>
      <c r="F606" s="58"/>
    </row>
    <row r="607" ht="16.5" customHeight="1">
      <c r="A607" s="55"/>
      <c r="C607" s="2"/>
      <c r="D607" s="56"/>
      <c r="E607" s="57"/>
      <c r="F607" s="58"/>
    </row>
    <row r="608" ht="16.5" customHeight="1">
      <c r="A608" s="55"/>
      <c r="C608" s="2"/>
      <c r="D608" s="56"/>
      <c r="E608" s="57"/>
      <c r="F608" s="58"/>
    </row>
    <row r="609" ht="16.5" customHeight="1">
      <c r="A609" s="55"/>
      <c r="C609" s="2"/>
      <c r="D609" s="56"/>
      <c r="E609" s="57"/>
      <c r="F609" s="58"/>
    </row>
    <row r="610" ht="16.5" customHeight="1">
      <c r="A610" s="55"/>
      <c r="C610" s="2"/>
      <c r="D610" s="56"/>
      <c r="E610" s="57"/>
      <c r="F610" s="58"/>
    </row>
    <row r="611" ht="16.5" customHeight="1">
      <c r="A611" s="55"/>
      <c r="C611" s="2"/>
      <c r="D611" s="56"/>
      <c r="E611" s="57"/>
      <c r="F611" s="58"/>
    </row>
    <row r="612" ht="16.5" customHeight="1">
      <c r="A612" s="55"/>
      <c r="C612" s="2"/>
      <c r="D612" s="56"/>
      <c r="E612" s="57"/>
      <c r="F612" s="58"/>
    </row>
    <row r="613" ht="16.5" customHeight="1">
      <c r="A613" s="55"/>
      <c r="C613" s="2"/>
      <c r="D613" s="56"/>
      <c r="E613" s="57"/>
      <c r="F613" s="58"/>
    </row>
    <row r="614" ht="16.5" customHeight="1">
      <c r="A614" s="55"/>
      <c r="C614" s="2"/>
      <c r="D614" s="56"/>
      <c r="E614" s="57"/>
      <c r="F614" s="58"/>
    </row>
    <row r="615" ht="16.5" customHeight="1">
      <c r="A615" s="55"/>
      <c r="C615" s="2"/>
      <c r="D615" s="56"/>
      <c r="E615" s="57"/>
      <c r="F615" s="58"/>
    </row>
    <row r="616" ht="16.5" customHeight="1">
      <c r="A616" s="55"/>
      <c r="C616" s="2"/>
      <c r="D616" s="56"/>
      <c r="E616" s="57"/>
      <c r="F616" s="58"/>
    </row>
    <row r="617" ht="16.5" customHeight="1">
      <c r="A617" s="55"/>
      <c r="C617" s="2"/>
      <c r="D617" s="56"/>
      <c r="E617" s="57"/>
      <c r="F617" s="58"/>
    </row>
    <row r="618" ht="16.5" customHeight="1">
      <c r="A618" s="55"/>
      <c r="C618" s="2"/>
      <c r="D618" s="56"/>
      <c r="E618" s="57"/>
      <c r="F618" s="58"/>
    </row>
    <row r="619" ht="16.5" customHeight="1">
      <c r="A619" s="55"/>
      <c r="C619" s="2"/>
      <c r="D619" s="56"/>
      <c r="E619" s="57"/>
      <c r="F619" s="58"/>
    </row>
    <row r="620" ht="16.5" customHeight="1">
      <c r="A620" s="55"/>
      <c r="C620" s="2"/>
      <c r="D620" s="56"/>
      <c r="E620" s="57"/>
      <c r="F620" s="58"/>
    </row>
    <row r="621" ht="16.5" customHeight="1">
      <c r="A621" s="55"/>
      <c r="C621" s="2"/>
      <c r="D621" s="56"/>
      <c r="E621" s="57"/>
      <c r="F621" s="58"/>
    </row>
    <row r="622" ht="16.5" customHeight="1">
      <c r="A622" s="55"/>
      <c r="C622" s="2"/>
      <c r="D622" s="56"/>
      <c r="E622" s="57"/>
      <c r="F622" s="58"/>
    </row>
    <row r="623" ht="16.5" customHeight="1">
      <c r="A623" s="55"/>
      <c r="C623" s="2"/>
      <c r="D623" s="56"/>
      <c r="E623" s="57"/>
      <c r="F623" s="58"/>
    </row>
    <row r="624" ht="16.5" customHeight="1">
      <c r="A624" s="55"/>
      <c r="C624" s="2"/>
      <c r="D624" s="56"/>
      <c r="E624" s="57"/>
      <c r="F624" s="58"/>
    </row>
    <row r="625" ht="16.5" customHeight="1">
      <c r="A625" s="55"/>
      <c r="C625" s="2"/>
      <c r="D625" s="56"/>
      <c r="E625" s="57"/>
      <c r="F625" s="58"/>
    </row>
    <row r="626" ht="16.5" customHeight="1">
      <c r="A626" s="55"/>
      <c r="C626" s="2"/>
      <c r="D626" s="56"/>
      <c r="E626" s="57"/>
      <c r="F626" s="58"/>
    </row>
    <row r="627" ht="16.5" customHeight="1">
      <c r="A627" s="55"/>
      <c r="C627" s="2"/>
      <c r="D627" s="56"/>
      <c r="E627" s="57"/>
      <c r="F627" s="58"/>
    </row>
    <row r="628" ht="16.5" customHeight="1">
      <c r="A628" s="55"/>
      <c r="C628" s="2"/>
      <c r="D628" s="56"/>
      <c r="E628" s="57"/>
      <c r="F628" s="58"/>
    </row>
    <row r="629" ht="16.5" customHeight="1">
      <c r="A629" s="55"/>
      <c r="C629" s="2"/>
      <c r="D629" s="56"/>
      <c r="E629" s="57"/>
      <c r="F629" s="58"/>
    </row>
    <row r="630" ht="16.5" customHeight="1">
      <c r="A630" s="55"/>
      <c r="C630" s="2"/>
      <c r="D630" s="56"/>
      <c r="E630" s="57"/>
      <c r="F630" s="58"/>
    </row>
    <row r="631" ht="16.5" customHeight="1">
      <c r="A631" s="55"/>
      <c r="C631" s="2"/>
      <c r="D631" s="56"/>
      <c r="E631" s="57"/>
      <c r="F631" s="58"/>
    </row>
    <row r="632" ht="16.5" customHeight="1">
      <c r="A632" s="55"/>
      <c r="C632" s="2"/>
      <c r="D632" s="56"/>
      <c r="E632" s="57"/>
      <c r="F632" s="58"/>
    </row>
    <row r="633" ht="16.5" customHeight="1">
      <c r="A633" s="55"/>
      <c r="C633" s="2"/>
      <c r="D633" s="56"/>
      <c r="E633" s="57"/>
      <c r="F633" s="58"/>
    </row>
    <row r="634" ht="16.5" customHeight="1">
      <c r="A634" s="55"/>
      <c r="C634" s="2"/>
      <c r="D634" s="56"/>
      <c r="E634" s="57"/>
      <c r="F634" s="58"/>
    </row>
    <row r="635" ht="16.5" customHeight="1">
      <c r="A635" s="55"/>
      <c r="C635" s="2"/>
      <c r="D635" s="56"/>
      <c r="E635" s="57"/>
      <c r="F635" s="58"/>
    </row>
    <row r="636" ht="16.5" customHeight="1">
      <c r="A636" s="55"/>
      <c r="C636" s="2"/>
      <c r="D636" s="56"/>
      <c r="E636" s="57"/>
      <c r="F636" s="58"/>
    </row>
    <row r="637" ht="16.5" customHeight="1">
      <c r="A637" s="55"/>
      <c r="C637" s="2"/>
      <c r="D637" s="56"/>
      <c r="E637" s="57"/>
      <c r="F637" s="58"/>
    </row>
    <row r="638" ht="16.5" customHeight="1">
      <c r="A638" s="55"/>
      <c r="C638" s="2"/>
      <c r="D638" s="56"/>
      <c r="E638" s="57"/>
      <c r="F638" s="58"/>
    </row>
    <row r="639" ht="16.5" customHeight="1">
      <c r="A639" s="55"/>
      <c r="C639" s="2"/>
      <c r="D639" s="56"/>
      <c r="E639" s="57"/>
      <c r="F639" s="58"/>
    </row>
    <row r="640" ht="16.5" customHeight="1">
      <c r="A640" s="55"/>
      <c r="C640" s="2"/>
      <c r="D640" s="56"/>
      <c r="E640" s="57"/>
      <c r="F640" s="58"/>
    </row>
    <row r="641" ht="16.5" customHeight="1">
      <c r="A641" s="55"/>
      <c r="C641" s="2"/>
      <c r="D641" s="56"/>
      <c r="E641" s="57"/>
      <c r="F641" s="58"/>
    </row>
    <row r="642" ht="16.5" customHeight="1">
      <c r="A642" s="55"/>
      <c r="C642" s="2"/>
      <c r="D642" s="56"/>
      <c r="E642" s="57"/>
      <c r="F642" s="58"/>
    </row>
    <row r="643" ht="16.5" customHeight="1">
      <c r="A643" s="55"/>
      <c r="C643" s="2"/>
      <c r="D643" s="56"/>
      <c r="E643" s="57"/>
      <c r="F643" s="58"/>
    </row>
    <row r="644" ht="16.5" customHeight="1">
      <c r="A644" s="55"/>
      <c r="C644" s="2"/>
      <c r="D644" s="56"/>
      <c r="E644" s="57"/>
      <c r="F644" s="58"/>
    </row>
    <row r="645" ht="16.5" customHeight="1">
      <c r="A645" s="55"/>
      <c r="C645" s="2"/>
      <c r="D645" s="56"/>
      <c r="E645" s="57"/>
      <c r="F645" s="58"/>
    </row>
    <row r="646" ht="16.5" customHeight="1">
      <c r="A646" s="55"/>
      <c r="C646" s="2"/>
      <c r="D646" s="56"/>
      <c r="E646" s="57"/>
      <c r="F646" s="58"/>
    </row>
    <row r="647" ht="16.5" customHeight="1">
      <c r="A647" s="55"/>
      <c r="C647" s="2"/>
      <c r="D647" s="56"/>
      <c r="E647" s="57"/>
      <c r="F647" s="58"/>
    </row>
    <row r="648" ht="16.5" customHeight="1">
      <c r="A648" s="55"/>
      <c r="C648" s="2"/>
      <c r="D648" s="56"/>
      <c r="E648" s="57"/>
      <c r="F648" s="58"/>
    </row>
    <row r="649" ht="16.5" customHeight="1">
      <c r="A649" s="55"/>
      <c r="C649" s="2"/>
      <c r="D649" s="56"/>
      <c r="E649" s="57"/>
      <c r="F649" s="58"/>
    </row>
    <row r="650" ht="16.5" customHeight="1">
      <c r="A650" s="55"/>
      <c r="C650" s="2"/>
      <c r="D650" s="56"/>
      <c r="E650" s="57"/>
      <c r="F650" s="58"/>
    </row>
    <row r="651" ht="16.5" customHeight="1">
      <c r="A651" s="55"/>
      <c r="C651" s="2"/>
      <c r="D651" s="56"/>
      <c r="E651" s="57"/>
      <c r="F651" s="58"/>
    </row>
    <row r="652" ht="16.5" customHeight="1">
      <c r="A652" s="55"/>
      <c r="C652" s="2"/>
      <c r="D652" s="56"/>
      <c r="E652" s="57"/>
      <c r="F652" s="58"/>
    </row>
    <row r="653" ht="16.5" customHeight="1">
      <c r="A653" s="55"/>
      <c r="C653" s="2"/>
      <c r="D653" s="56"/>
      <c r="E653" s="57"/>
      <c r="F653" s="58"/>
    </row>
    <row r="654" ht="16.5" customHeight="1">
      <c r="A654" s="55"/>
      <c r="C654" s="2"/>
      <c r="D654" s="56"/>
      <c r="E654" s="57"/>
      <c r="F654" s="58"/>
    </row>
    <row r="655" ht="16.5" customHeight="1">
      <c r="A655" s="55"/>
      <c r="C655" s="2"/>
      <c r="D655" s="56"/>
      <c r="E655" s="57"/>
      <c r="F655" s="58"/>
    </row>
    <row r="656" ht="16.5" customHeight="1">
      <c r="A656" s="55"/>
      <c r="C656" s="2"/>
      <c r="D656" s="56"/>
      <c r="E656" s="57"/>
      <c r="F656" s="58"/>
    </row>
    <row r="657" ht="16.5" customHeight="1">
      <c r="A657" s="55"/>
      <c r="C657" s="2"/>
      <c r="D657" s="56"/>
      <c r="E657" s="57"/>
      <c r="F657" s="58"/>
    </row>
    <row r="658" ht="16.5" customHeight="1">
      <c r="A658" s="55"/>
      <c r="C658" s="2"/>
      <c r="D658" s="56"/>
      <c r="E658" s="57"/>
      <c r="F658" s="58"/>
    </row>
    <row r="659" ht="16.5" customHeight="1">
      <c r="A659" s="55"/>
      <c r="C659" s="2"/>
      <c r="D659" s="56"/>
      <c r="E659" s="57"/>
      <c r="F659" s="58"/>
    </row>
    <row r="660" ht="16.5" customHeight="1">
      <c r="A660" s="55"/>
      <c r="C660" s="2"/>
      <c r="D660" s="56"/>
      <c r="E660" s="57"/>
      <c r="F660" s="58"/>
    </row>
    <row r="661" ht="16.5" customHeight="1">
      <c r="A661" s="55"/>
      <c r="C661" s="2"/>
      <c r="D661" s="56"/>
      <c r="E661" s="57"/>
      <c r="F661" s="58"/>
    </row>
    <row r="662" ht="16.5" customHeight="1">
      <c r="A662" s="55"/>
      <c r="C662" s="2"/>
      <c r="D662" s="56"/>
      <c r="E662" s="57"/>
      <c r="F662" s="58"/>
    </row>
    <row r="663" ht="16.5" customHeight="1">
      <c r="A663" s="55"/>
      <c r="C663" s="2"/>
      <c r="D663" s="56"/>
      <c r="E663" s="57"/>
      <c r="F663" s="58"/>
    </row>
    <row r="664" ht="16.5" customHeight="1">
      <c r="A664" s="55"/>
      <c r="C664" s="2"/>
      <c r="D664" s="56"/>
      <c r="E664" s="57"/>
      <c r="F664" s="58"/>
    </row>
    <row r="665" ht="16.5" customHeight="1">
      <c r="A665" s="55"/>
      <c r="C665" s="2"/>
      <c r="D665" s="56"/>
      <c r="E665" s="57"/>
      <c r="F665" s="58"/>
    </row>
    <row r="666" ht="16.5" customHeight="1">
      <c r="A666" s="55"/>
      <c r="C666" s="2"/>
      <c r="D666" s="56"/>
      <c r="E666" s="57"/>
      <c r="F666" s="58"/>
    </row>
    <row r="667" ht="16.5" customHeight="1">
      <c r="A667" s="55"/>
      <c r="C667" s="2"/>
      <c r="D667" s="56"/>
      <c r="E667" s="57"/>
      <c r="F667" s="58"/>
    </row>
    <row r="668" ht="16.5" customHeight="1">
      <c r="A668" s="55"/>
      <c r="C668" s="2"/>
      <c r="D668" s="56"/>
      <c r="E668" s="57"/>
      <c r="F668" s="58"/>
    </row>
    <row r="669" ht="16.5" customHeight="1">
      <c r="A669" s="55"/>
      <c r="C669" s="2"/>
      <c r="D669" s="56"/>
      <c r="E669" s="57"/>
      <c r="F669" s="58"/>
    </row>
    <row r="670" ht="16.5" customHeight="1">
      <c r="A670" s="55"/>
      <c r="C670" s="2"/>
      <c r="D670" s="56"/>
      <c r="E670" s="57"/>
      <c r="F670" s="58"/>
    </row>
    <row r="671" ht="16.5" customHeight="1">
      <c r="A671" s="55"/>
      <c r="C671" s="2"/>
      <c r="D671" s="56"/>
      <c r="E671" s="57"/>
      <c r="F671" s="58"/>
    </row>
    <row r="672" ht="16.5" customHeight="1">
      <c r="A672" s="55"/>
      <c r="C672" s="2"/>
      <c r="D672" s="56"/>
      <c r="E672" s="57"/>
      <c r="F672" s="58"/>
    </row>
    <row r="673" ht="16.5" customHeight="1">
      <c r="A673" s="55"/>
      <c r="C673" s="2"/>
      <c r="D673" s="56"/>
      <c r="E673" s="57"/>
      <c r="F673" s="58"/>
    </row>
    <row r="674" ht="16.5" customHeight="1">
      <c r="A674" s="55"/>
      <c r="C674" s="2"/>
      <c r="D674" s="56"/>
      <c r="E674" s="57"/>
      <c r="F674" s="58"/>
    </row>
    <row r="675" ht="16.5" customHeight="1">
      <c r="A675" s="55"/>
      <c r="C675" s="2"/>
      <c r="D675" s="56"/>
      <c r="E675" s="57"/>
      <c r="F675" s="58"/>
    </row>
    <row r="676" ht="16.5" customHeight="1">
      <c r="A676" s="55"/>
      <c r="C676" s="2"/>
      <c r="D676" s="56"/>
      <c r="E676" s="57"/>
      <c r="F676" s="58"/>
    </row>
    <row r="677" ht="16.5" customHeight="1">
      <c r="A677" s="55"/>
      <c r="C677" s="2"/>
      <c r="D677" s="56"/>
      <c r="E677" s="57"/>
      <c r="F677" s="58"/>
    </row>
    <row r="678" ht="16.5" customHeight="1">
      <c r="A678" s="55"/>
      <c r="C678" s="2"/>
      <c r="D678" s="56"/>
      <c r="E678" s="57"/>
      <c r="F678" s="58"/>
    </row>
    <row r="679" ht="16.5" customHeight="1">
      <c r="A679" s="55"/>
      <c r="C679" s="2"/>
      <c r="D679" s="56"/>
      <c r="E679" s="57"/>
      <c r="F679" s="58"/>
    </row>
    <row r="680" ht="16.5" customHeight="1">
      <c r="A680" s="55"/>
      <c r="C680" s="2"/>
      <c r="D680" s="56"/>
      <c r="E680" s="57"/>
      <c r="F680" s="58"/>
    </row>
    <row r="681" ht="16.5" customHeight="1">
      <c r="A681" s="55"/>
      <c r="C681" s="2"/>
      <c r="D681" s="56"/>
      <c r="E681" s="57"/>
      <c r="F681" s="58"/>
    </row>
    <row r="682" ht="16.5" customHeight="1">
      <c r="A682" s="55"/>
      <c r="C682" s="2"/>
      <c r="D682" s="56"/>
      <c r="E682" s="57"/>
      <c r="F682" s="58"/>
    </row>
    <row r="683" ht="16.5" customHeight="1">
      <c r="A683" s="55"/>
      <c r="C683" s="2"/>
      <c r="D683" s="56"/>
      <c r="E683" s="57"/>
      <c r="F683" s="58"/>
    </row>
    <row r="684" ht="16.5" customHeight="1">
      <c r="A684" s="55"/>
      <c r="C684" s="2"/>
      <c r="D684" s="56"/>
      <c r="E684" s="57"/>
      <c r="F684" s="58"/>
    </row>
    <row r="685" ht="16.5" customHeight="1">
      <c r="A685" s="55"/>
      <c r="C685" s="2"/>
      <c r="D685" s="56"/>
      <c r="E685" s="57"/>
      <c r="F685" s="58"/>
    </row>
    <row r="686" ht="16.5" customHeight="1">
      <c r="A686" s="55"/>
      <c r="C686" s="2"/>
      <c r="D686" s="56"/>
      <c r="E686" s="57"/>
      <c r="F686" s="58"/>
    </row>
    <row r="687" ht="16.5" customHeight="1">
      <c r="A687" s="55"/>
      <c r="C687" s="2"/>
      <c r="D687" s="56"/>
      <c r="E687" s="57"/>
      <c r="F687" s="58"/>
    </row>
    <row r="688" ht="16.5" customHeight="1">
      <c r="A688" s="55"/>
      <c r="C688" s="2"/>
      <c r="D688" s="56"/>
      <c r="E688" s="57"/>
      <c r="F688" s="58"/>
    </row>
    <row r="689" ht="16.5" customHeight="1">
      <c r="A689" s="55"/>
      <c r="C689" s="2"/>
      <c r="D689" s="56"/>
      <c r="E689" s="57"/>
      <c r="F689" s="58"/>
    </row>
    <row r="690" ht="16.5" customHeight="1">
      <c r="A690" s="55"/>
      <c r="C690" s="2"/>
      <c r="D690" s="56"/>
      <c r="E690" s="57"/>
      <c r="F690" s="58"/>
    </row>
    <row r="691" ht="16.5" customHeight="1">
      <c r="A691" s="55"/>
      <c r="C691" s="2"/>
      <c r="D691" s="56"/>
      <c r="E691" s="57"/>
      <c r="F691" s="58"/>
    </row>
    <row r="692" ht="16.5" customHeight="1">
      <c r="A692" s="55"/>
      <c r="C692" s="2"/>
      <c r="D692" s="56"/>
      <c r="E692" s="57"/>
      <c r="F692" s="58"/>
    </row>
    <row r="693" ht="16.5" customHeight="1">
      <c r="A693" s="55"/>
      <c r="C693" s="2"/>
      <c r="D693" s="56"/>
      <c r="E693" s="57"/>
      <c r="F693" s="58"/>
    </row>
    <row r="694" ht="16.5" customHeight="1">
      <c r="A694" s="55"/>
      <c r="C694" s="2"/>
      <c r="D694" s="56"/>
      <c r="E694" s="57"/>
      <c r="F694" s="58"/>
    </row>
    <row r="695" ht="16.5" customHeight="1">
      <c r="A695" s="55"/>
      <c r="C695" s="2"/>
      <c r="D695" s="56"/>
      <c r="E695" s="57"/>
      <c r="F695" s="58"/>
    </row>
    <row r="696" ht="16.5" customHeight="1">
      <c r="A696" s="55"/>
      <c r="C696" s="2"/>
      <c r="D696" s="56"/>
      <c r="E696" s="57"/>
      <c r="F696" s="58"/>
    </row>
    <row r="697" ht="16.5" customHeight="1">
      <c r="A697" s="55"/>
      <c r="C697" s="2"/>
      <c r="D697" s="56"/>
      <c r="E697" s="57"/>
      <c r="F697" s="58"/>
    </row>
    <row r="698" ht="16.5" customHeight="1">
      <c r="A698" s="55"/>
      <c r="C698" s="2"/>
      <c r="D698" s="56"/>
      <c r="E698" s="57"/>
      <c r="F698" s="58"/>
    </row>
    <row r="699" ht="16.5" customHeight="1">
      <c r="A699" s="55"/>
      <c r="C699" s="2"/>
      <c r="D699" s="56"/>
      <c r="E699" s="57"/>
      <c r="F699" s="58"/>
    </row>
    <row r="700" ht="16.5" customHeight="1">
      <c r="A700" s="55"/>
      <c r="C700" s="2"/>
      <c r="D700" s="56"/>
      <c r="E700" s="57"/>
      <c r="F700" s="58"/>
    </row>
    <row r="701" ht="16.5" customHeight="1">
      <c r="A701" s="55"/>
      <c r="C701" s="2"/>
      <c r="D701" s="56"/>
      <c r="E701" s="57"/>
      <c r="F701" s="58"/>
    </row>
    <row r="702" ht="16.5" customHeight="1">
      <c r="A702" s="55"/>
      <c r="C702" s="2"/>
      <c r="D702" s="56"/>
      <c r="E702" s="57"/>
      <c r="F702" s="58"/>
    </row>
    <row r="703" ht="16.5" customHeight="1">
      <c r="A703" s="55"/>
      <c r="C703" s="2"/>
      <c r="D703" s="56"/>
      <c r="E703" s="57"/>
      <c r="F703" s="58"/>
    </row>
    <row r="704" ht="16.5" customHeight="1">
      <c r="A704" s="55"/>
      <c r="C704" s="2"/>
      <c r="D704" s="56"/>
      <c r="E704" s="57"/>
      <c r="F704" s="58"/>
    </row>
    <row r="705" ht="16.5" customHeight="1">
      <c r="A705" s="55"/>
      <c r="C705" s="2"/>
      <c r="D705" s="56"/>
      <c r="E705" s="57"/>
      <c r="F705" s="58"/>
    </row>
    <row r="706" ht="16.5" customHeight="1">
      <c r="A706" s="55"/>
      <c r="C706" s="2"/>
      <c r="D706" s="56"/>
      <c r="E706" s="57"/>
      <c r="F706" s="58"/>
    </row>
    <row r="707" ht="16.5" customHeight="1">
      <c r="A707" s="55"/>
      <c r="C707" s="2"/>
      <c r="D707" s="56"/>
      <c r="E707" s="57"/>
      <c r="F707" s="58"/>
    </row>
    <row r="708" ht="16.5" customHeight="1">
      <c r="A708" s="55"/>
      <c r="C708" s="2"/>
      <c r="D708" s="56"/>
      <c r="E708" s="57"/>
      <c r="F708" s="58"/>
    </row>
    <row r="709" ht="16.5" customHeight="1">
      <c r="A709" s="55"/>
      <c r="C709" s="2"/>
      <c r="D709" s="56"/>
      <c r="E709" s="57"/>
      <c r="F709" s="58"/>
    </row>
    <row r="710" ht="16.5" customHeight="1">
      <c r="A710" s="55"/>
      <c r="C710" s="2"/>
      <c r="D710" s="56"/>
      <c r="E710" s="57"/>
      <c r="F710" s="58"/>
    </row>
    <row r="711" ht="16.5" customHeight="1">
      <c r="A711" s="55"/>
      <c r="C711" s="2"/>
      <c r="D711" s="56"/>
      <c r="E711" s="57"/>
      <c r="F711" s="58"/>
    </row>
    <row r="712" ht="16.5" customHeight="1">
      <c r="A712" s="55"/>
      <c r="C712" s="2"/>
      <c r="D712" s="56"/>
      <c r="E712" s="57"/>
      <c r="F712" s="58"/>
    </row>
    <row r="713" ht="16.5" customHeight="1">
      <c r="A713" s="55"/>
      <c r="C713" s="2"/>
      <c r="D713" s="56"/>
      <c r="E713" s="57"/>
      <c r="F713" s="58"/>
    </row>
    <row r="714" ht="16.5" customHeight="1">
      <c r="A714" s="55"/>
      <c r="C714" s="2"/>
      <c r="D714" s="56"/>
      <c r="E714" s="57"/>
      <c r="F714" s="58"/>
    </row>
    <row r="715" ht="16.5" customHeight="1">
      <c r="A715" s="55"/>
      <c r="C715" s="2"/>
      <c r="D715" s="56"/>
      <c r="E715" s="57"/>
      <c r="F715" s="58"/>
    </row>
    <row r="716" ht="16.5" customHeight="1">
      <c r="A716" s="55"/>
      <c r="C716" s="2"/>
      <c r="D716" s="56"/>
      <c r="E716" s="57"/>
      <c r="F716" s="58"/>
    </row>
    <row r="717" ht="16.5" customHeight="1">
      <c r="A717" s="55"/>
      <c r="C717" s="2"/>
      <c r="D717" s="56"/>
      <c r="E717" s="57"/>
      <c r="F717" s="58"/>
    </row>
    <row r="718" ht="16.5" customHeight="1">
      <c r="A718" s="55"/>
      <c r="C718" s="2"/>
      <c r="D718" s="56"/>
      <c r="E718" s="57"/>
      <c r="F718" s="58"/>
    </row>
    <row r="719" ht="16.5" customHeight="1">
      <c r="A719" s="55"/>
      <c r="C719" s="2"/>
      <c r="D719" s="56"/>
      <c r="E719" s="57"/>
      <c r="F719" s="58"/>
    </row>
    <row r="720" ht="16.5" customHeight="1">
      <c r="A720" s="55"/>
      <c r="C720" s="2"/>
      <c r="D720" s="56"/>
      <c r="E720" s="57"/>
      <c r="F720" s="58"/>
    </row>
    <row r="721" ht="16.5" customHeight="1">
      <c r="A721" s="55"/>
      <c r="C721" s="2"/>
      <c r="D721" s="56"/>
      <c r="E721" s="57"/>
      <c r="F721" s="58"/>
    </row>
    <row r="722" ht="16.5" customHeight="1">
      <c r="A722" s="55"/>
      <c r="C722" s="2"/>
      <c r="D722" s="56"/>
      <c r="E722" s="57"/>
      <c r="F722" s="58"/>
    </row>
    <row r="723" ht="16.5" customHeight="1">
      <c r="A723" s="55"/>
      <c r="C723" s="2"/>
      <c r="D723" s="56"/>
      <c r="E723" s="57"/>
      <c r="F723" s="58"/>
    </row>
    <row r="724" ht="16.5" customHeight="1">
      <c r="A724" s="55"/>
      <c r="C724" s="2"/>
      <c r="D724" s="56"/>
      <c r="E724" s="57"/>
      <c r="F724" s="58"/>
    </row>
    <row r="725" ht="16.5" customHeight="1">
      <c r="A725" s="55"/>
      <c r="C725" s="2"/>
      <c r="D725" s="56"/>
      <c r="E725" s="57"/>
      <c r="F725" s="58"/>
    </row>
    <row r="726" ht="16.5" customHeight="1">
      <c r="A726" s="55"/>
      <c r="C726" s="2"/>
      <c r="D726" s="56"/>
      <c r="E726" s="57"/>
      <c r="F726" s="58"/>
    </row>
    <row r="727" ht="16.5" customHeight="1">
      <c r="A727" s="55"/>
      <c r="C727" s="2"/>
      <c r="D727" s="56"/>
      <c r="E727" s="57"/>
      <c r="F727" s="58"/>
    </row>
    <row r="728" ht="16.5" customHeight="1">
      <c r="A728" s="55"/>
      <c r="C728" s="2"/>
      <c r="D728" s="56"/>
      <c r="E728" s="57"/>
      <c r="F728" s="58"/>
    </row>
    <row r="729" ht="16.5" customHeight="1">
      <c r="A729" s="55"/>
      <c r="C729" s="2"/>
      <c r="D729" s="56"/>
      <c r="E729" s="57"/>
      <c r="F729" s="58"/>
    </row>
    <row r="730" ht="16.5" customHeight="1">
      <c r="A730" s="55"/>
      <c r="C730" s="2"/>
      <c r="D730" s="56"/>
      <c r="E730" s="57"/>
      <c r="F730" s="58"/>
    </row>
    <row r="731" ht="16.5" customHeight="1">
      <c r="A731" s="55"/>
      <c r="C731" s="2"/>
      <c r="D731" s="56"/>
      <c r="E731" s="57"/>
      <c r="F731" s="58"/>
    </row>
    <row r="732" ht="16.5" customHeight="1">
      <c r="A732" s="55"/>
      <c r="C732" s="2"/>
      <c r="D732" s="56"/>
      <c r="E732" s="57"/>
      <c r="F732" s="58"/>
    </row>
    <row r="733" ht="16.5" customHeight="1">
      <c r="A733" s="55"/>
      <c r="C733" s="2"/>
      <c r="D733" s="56"/>
      <c r="E733" s="57"/>
      <c r="F733" s="58"/>
    </row>
    <row r="734" ht="16.5" customHeight="1">
      <c r="A734" s="55"/>
      <c r="C734" s="2"/>
      <c r="D734" s="56"/>
      <c r="E734" s="57"/>
      <c r="F734" s="58"/>
    </row>
    <row r="735" ht="16.5" customHeight="1">
      <c r="A735" s="55"/>
      <c r="C735" s="2"/>
      <c r="D735" s="56"/>
      <c r="E735" s="57"/>
      <c r="F735" s="58"/>
    </row>
    <row r="736" ht="16.5" customHeight="1">
      <c r="A736" s="55"/>
      <c r="C736" s="2"/>
      <c r="D736" s="56"/>
      <c r="E736" s="57"/>
      <c r="F736" s="58"/>
    </row>
    <row r="737" ht="16.5" customHeight="1">
      <c r="A737" s="55"/>
      <c r="C737" s="2"/>
      <c r="D737" s="56"/>
      <c r="E737" s="57"/>
      <c r="F737" s="58"/>
    </row>
    <row r="738" ht="16.5" customHeight="1">
      <c r="A738" s="55"/>
      <c r="C738" s="2"/>
      <c r="D738" s="56"/>
      <c r="E738" s="57"/>
      <c r="F738" s="58"/>
    </row>
    <row r="739" ht="16.5" customHeight="1">
      <c r="A739" s="55"/>
      <c r="C739" s="2"/>
      <c r="D739" s="56"/>
      <c r="E739" s="57"/>
      <c r="F739" s="58"/>
    </row>
    <row r="740" ht="16.5" customHeight="1">
      <c r="A740" s="55"/>
      <c r="C740" s="2"/>
      <c r="D740" s="56"/>
      <c r="E740" s="57"/>
      <c r="F740" s="58"/>
    </row>
    <row r="741" ht="16.5" customHeight="1">
      <c r="A741" s="55"/>
      <c r="C741" s="2"/>
      <c r="D741" s="56"/>
      <c r="E741" s="57"/>
      <c r="F741" s="58"/>
    </row>
    <row r="742" ht="16.5" customHeight="1">
      <c r="A742" s="55"/>
      <c r="C742" s="2"/>
      <c r="D742" s="56"/>
      <c r="E742" s="57"/>
      <c r="F742" s="58"/>
    </row>
    <row r="743" ht="16.5" customHeight="1">
      <c r="A743" s="55"/>
      <c r="C743" s="2"/>
      <c r="D743" s="56"/>
      <c r="E743" s="57"/>
      <c r="F743" s="58"/>
    </row>
    <row r="744" ht="16.5" customHeight="1">
      <c r="A744" s="55"/>
      <c r="C744" s="2"/>
      <c r="D744" s="56"/>
      <c r="E744" s="57"/>
      <c r="F744" s="58"/>
    </row>
    <row r="745" ht="16.5" customHeight="1">
      <c r="A745" s="55"/>
      <c r="C745" s="2"/>
      <c r="D745" s="56"/>
      <c r="E745" s="57"/>
      <c r="F745" s="58"/>
    </row>
    <row r="746" ht="16.5" customHeight="1">
      <c r="A746" s="55"/>
      <c r="C746" s="2"/>
      <c r="D746" s="56"/>
      <c r="E746" s="57"/>
      <c r="F746" s="58"/>
    </row>
    <row r="747" ht="16.5" customHeight="1">
      <c r="A747" s="55"/>
      <c r="C747" s="2"/>
      <c r="D747" s="56"/>
      <c r="E747" s="57"/>
      <c r="F747" s="58"/>
    </row>
    <row r="748" ht="16.5" customHeight="1">
      <c r="A748" s="55"/>
      <c r="C748" s="2"/>
      <c r="D748" s="56"/>
      <c r="E748" s="57"/>
      <c r="F748" s="58"/>
    </row>
    <row r="749" ht="16.5" customHeight="1">
      <c r="A749" s="55"/>
      <c r="C749" s="2"/>
      <c r="D749" s="56"/>
      <c r="E749" s="57"/>
      <c r="F749" s="58"/>
    </row>
    <row r="750" ht="16.5" customHeight="1">
      <c r="A750" s="55"/>
      <c r="C750" s="2"/>
      <c r="D750" s="56"/>
      <c r="E750" s="57"/>
      <c r="F750" s="58"/>
    </row>
    <row r="751" ht="16.5" customHeight="1">
      <c r="A751" s="55"/>
      <c r="C751" s="2"/>
      <c r="D751" s="56"/>
      <c r="E751" s="57"/>
      <c r="F751" s="58"/>
    </row>
    <row r="752" ht="16.5" customHeight="1">
      <c r="A752" s="55"/>
      <c r="C752" s="2"/>
      <c r="D752" s="56"/>
      <c r="E752" s="57"/>
      <c r="F752" s="58"/>
    </row>
    <row r="753" ht="16.5" customHeight="1">
      <c r="A753" s="55"/>
      <c r="C753" s="2"/>
      <c r="D753" s="56"/>
      <c r="E753" s="57"/>
      <c r="F753" s="58"/>
    </row>
    <row r="754" ht="16.5" customHeight="1">
      <c r="A754" s="55"/>
      <c r="C754" s="2"/>
      <c r="D754" s="56"/>
      <c r="E754" s="57"/>
      <c r="F754" s="58"/>
    </row>
    <row r="755" ht="16.5" customHeight="1">
      <c r="A755" s="55"/>
      <c r="C755" s="2"/>
      <c r="D755" s="56"/>
      <c r="E755" s="57"/>
      <c r="F755" s="58"/>
    </row>
    <row r="756" ht="16.5" customHeight="1">
      <c r="A756" s="55"/>
      <c r="C756" s="2"/>
      <c r="D756" s="56"/>
      <c r="E756" s="57"/>
      <c r="F756" s="58"/>
    </row>
    <row r="757" ht="16.5" customHeight="1">
      <c r="A757" s="55"/>
      <c r="C757" s="2"/>
      <c r="D757" s="56"/>
      <c r="E757" s="57"/>
      <c r="F757" s="58"/>
    </row>
    <row r="758" ht="16.5" customHeight="1">
      <c r="A758" s="55"/>
      <c r="C758" s="2"/>
      <c r="D758" s="56"/>
      <c r="E758" s="57"/>
      <c r="F758" s="58"/>
    </row>
    <row r="759" ht="16.5" customHeight="1">
      <c r="A759" s="55"/>
      <c r="C759" s="2"/>
      <c r="D759" s="56"/>
      <c r="E759" s="57"/>
      <c r="F759" s="58"/>
    </row>
    <row r="760" ht="16.5" customHeight="1">
      <c r="A760" s="55"/>
      <c r="C760" s="2"/>
      <c r="D760" s="56"/>
      <c r="E760" s="57"/>
      <c r="F760" s="58"/>
    </row>
    <row r="761" ht="16.5" customHeight="1">
      <c r="A761" s="55"/>
      <c r="C761" s="2"/>
      <c r="D761" s="56"/>
      <c r="E761" s="57"/>
      <c r="F761" s="58"/>
    </row>
    <row r="762" ht="16.5" customHeight="1">
      <c r="A762" s="55"/>
      <c r="C762" s="2"/>
      <c r="D762" s="56"/>
      <c r="E762" s="57"/>
      <c r="F762" s="58"/>
    </row>
    <row r="763" ht="16.5" customHeight="1">
      <c r="A763" s="55"/>
      <c r="C763" s="2"/>
      <c r="D763" s="56"/>
      <c r="E763" s="57"/>
      <c r="F763" s="58"/>
    </row>
    <row r="764" ht="16.5" customHeight="1">
      <c r="A764" s="55"/>
      <c r="C764" s="2"/>
      <c r="D764" s="56"/>
      <c r="E764" s="57"/>
      <c r="F764" s="58"/>
    </row>
    <row r="765" ht="16.5" customHeight="1">
      <c r="A765" s="55"/>
      <c r="C765" s="2"/>
      <c r="D765" s="56"/>
      <c r="E765" s="57"/>
      <c r="F765" s="58"/>
    </row>
    <row r="766" ht="16.5" customHeight="1">
      <c r="A766" s="55"/>
      <c r="C766" s="2"/>
      <c r="D766" s="56"/>
      <c r="E766" s="57"/>
      <c r="F766" s="58"/>
    </row>
    <row r="767" ht="16.5" customHeight="1">
      <c r="A767" s="55"/>
      <c r="C767" s="2"/>
      <c r="D767" s="56"/>
      <c r="E767" s="57"/>
      <c r="F767" s="58"/>
    </row>
    <row r="768" ht="16.5" customHeight="1">
      <c r="A768" s="55"/>
      <c r="C768" s="2"/>
      <c r="D768" s="56"/>
      <c r="E768" s="57"/>
      <c r="F768" s="58"/>
    </row>
    <row r="769" ht="16.5" customHeight="1">
      <c r="A769" s="55"/>
      <c r="C769" s="2"/>
      <c r="D769" s="56"/>
      <c r="E769" s="57"/>
      <c r="F769" s="58"/>
    </row>
    <row r="770" ht="16.5" customHeight="1">
      <c r="A770" s="55"/>
      <c r="C770" s="2"/>
      <c r="D770" s="56"/>
      <c r="E770" s="57"/>
      <c r="F770" s="58"/>
    </row>
    <row r="771" ht="16.5" customHeight="1">
      <c r="A771" s="55"/>
      <c r="C771" s="2"/>
      <c r="D771" s="56"/>
      <c r="E771" s="57"/>
      <c r="F771" s="58"/>
    </row>
    <row r="772" ht="16.5" customHeight="1">
      <c r="A772" s="55"/>
      <c r="C772" s="2"/>
      <c r="D772" s="56"/>
      <c r="E772" s="57"/>
      <c r="F772" s="58"/>
    </row>
    <row r="773" ht="16.5" customHeight="1">
      <c r="A773" s="55"/>
      <c r="C773" s="2"/>
      <c r="D773" s="56"/>
      <c r="E773" s="57"/>
      <c r="F773" s="58"/>
    </row>
    <row r="774" ht="16.5" customHeight="1">
      <c r="A774" s="55"/>
      <c r="C774" s="2"/>
      <c r="D774" s="56"/>
      <c r="E774" s="57"/>
      <c r="F774" s="58"/>
    </row>
    <row r="775" ht="16.5" customHeight="1">
      <c r="A775" s="55"/>
      <c r="C775" s="2"/>
      <c r="D775" s="56"/>
      <c r="E775" s="57"/>
      <c r="F775" s="58"/>
    </row>
    <row r="776" ht="16.5" customHeight="1">
      <c r="A776" s="55"/>
      <c r="C776" s="2"/>
      <c r="D776" s="56"/>
      <c r="E776" s="57"/>
      <c r="F776" s="58"/>
    </row>
    <row r="777" ht="16.5" customHeight="1">
      <c r="A777" s="55"/>
      <c r="C777" s="2"/>
      <c r="D777" s="56"/>
      <c r="E777" s="57"/>
      <c r="F777" s="58"/>
    </row>
    <row r="778" ht="16.5" customHeight="1">
      <c r="A778" s="55"/>
      <c r="C778" s="2"/>
      <c r="D778" s="56"/>
      <c r="E778" s="57"/>
      <c r="F778" s="58"/>
    </row>
    <row r="779" ht="16.5" customHeight="1">
      <c r="A779" s="55"/>
      <c r="C779" s="2"/>
      <c r="D779" s="56"/>
      <c r="E779" s="57"/>
      <c r="F779" s="58"/>
    </row>
    <row r="780" ht="16.5" customHeight="1">
      <c r="A780" s="55"/>
      <c r="C780" s="2"/>
      <c r="D780" s="56"/>
      <c r="E780" s="57"/>
      <c r="F780" s="58"/>
    </row>
    <row r="781" ht="16.5" customHeight="1">
      <c r="A781" s="55"/>
      <c r="C781" s="2"/>
      <c r="D781" s="56"/>
      <c r="E781" s="57"/>
      <c r="F781" s="58"/>
    </row>
    <row r="782" ht="16.5" customHeight="1">
      <c r="A782" s="55"/>
      <c r="C782" s="2"/>
      <c r="D782" s="56"/>
      <c r="E782" s="57"/>
      <c r="F782" s="58"/>
    </row>
    <row r="783" ht="16.5" customHeight="1">
      <c r="A783" s="55"/>
      <c r="C783" s="2"/>
      <c r="D783" s="56"/>
      <c r="E783" s="57"/>
      <c r="F783" s="58"/>
    </row>
    <row r="784" ht="16.5" customHeight="1">
      <c r="A784" s="55"/>
      <c r="C784" s="2"/>
      <c r="D784" s="56"/>
      <c r="E784" s="57"/>
      <c r="F784" s="58"/>
    </row>
    <row r="785" ht="16.5" customHeight="1">
      <c r="A785" s="55"/>
      <c r="C785" s="2"/>
      <c r="D785" s="56"/>
      <c r="E785" s="57"/>
      <c r="F785" s="58"/>
    </row>
    <row r="786" ht="16.5" customHeight="1">
      <c r="A786" s="55"/>
      <c r="C786" s="2"/>
      <c r="D786" s="56"/>
      <c r="E786" s="57"/>
      <c r="F786" s="58"/>
    </row>
    <row r="787" ht="16.5" customHeight="1">
      <c r="A787" s="55"/>
      <c r="C787" s="2"/>
      <c r="D787" s="56"/>
      <c r="E787" s="57"/>
      <c r="F787" s="58"/>
    </row>
    <row r="788" ht="16.5" customHeight="1">
      <c r="A788" s="55"/>
      <c r="C788" s="2"/>
      <c r="D788" s="56"/>
      <c r="E788" s="57"/>
      <c r="F788" s="58"/>
    </row>
    <row r="789" ht="16.5" customHeight="1">
      <c r="A789" s="55"/>
      <c r="C789" s="2"/>
      <c r="D789" s="56"/>
      <c r="E789" s="57"/>
      <c r="F789" s="58"/>
    </row>
    <row r="790" ht="16.5" customHeight="1">
      <c r="A790" s="55"/>
      <c r="C790" s="2"/>
      <c r="D790" s="56"/>
      <c r="E790" s="57"/>
      <c r="F790" s="58"/>
    </row>
    <row r="791" ht="16.5" customHeight="1">
      <c r="A791" s="55"/>
      <c r="C791" s="2"/>
      <c r="D791" s="56"/>
      <c r="E791" s="57"/>
      <c r="F791" s="58"/>
    </row>
    <row r="792" ht="16.5" customHeight="1">
      <c r="A792" s="55"/>
      <c r="C792" s="2"/>
      <c r="D792" s="56"/>
      <c r="E792" s="57"/>
      <c r="F792" s="58"/>
    </row>
    <row r="793" ht="16.5" customHeight="1">
      <c r="A793" s="55"/>
      <c r="C793" s="2"/>
      <c r="D793" s="56"/>
      <c r="E793" s="57"/>
      <c r="F793" s="58"/>
    </row>
    <row r="794" ht="16.5" customHeight="1">
      <c r="A794" s="55"/>
      <c r="C794" s="2"/>
      <c r="D794" s="56"/>
      <c r="E794" s="57"/>
      <c r="F794" s="58"/>
    </row>
    <row r="795" ht="16.5" customHeight="1">
      <c r="A795" s="55"/>
      <c r="C795" s="2"/>
      <c r="D795" s="56"/>
      <c r="E795" s="57"/>
      <c r="F795" s="58"/>
    </row>
    <row r="796" ht="16.5" customHeight="1">
      <c r="A796" s="55"/>
      <c r="C796" s="2"/>
      <c r="D796" s="56"/>
      <c r="E796" s="57"/>
      <c r="F796" s="58"/>
    </row>
    <row r="797" ht="16.5" customHeight="1">
      <c r="A797" s="55"/>
      <c r="C797" s="2"/>
      <c r="D797" s="56"/>
      <c r="E797" s="57"/>
      <c r="F797" s="58"/>
    </row>
    <row r="798" ht="16.5" customHeight="1">
      <c r="A798" s="55"/>
      <c r="C798" s="2"/>
      <c r="D798" s="56"/>
      <c r="E798" s="57"/>
      <c r="F798" s="58"/>
    </row>
    <row r="799" ht="16.5" customHeight="1">
      <c r="A799" s="55"/>
      <c r="C799" s="2"/>
      <c r="D799" s="56"/>
      <c r="E799" s="57"/>
      <c r="F799" s="58"/>
    </row>
    <row r="800" ht="16.5" customHeight="1">
      <c r="A800" s="55"/>
      <c r="C800" s="2"/>
      <c r="D800" s="56"/>
      <c r="E800" s="57"/>
      <c r="F800" s="58"/>
    </row>
    <row r="801" ht="16.5" customHeight="1">
      <c r="A801" s="55"/>
      <c r="C801" s="2"/>
      <c r="D801" s="56"/>
      <c r="E801" s="57"/>
      <c r="F801" s="58"/>
    </row>
    <row r="802" ht="16.5" customHeight="1">
      <c r="A802" s="55"/>
      <c r="C802" s="2"/>
      <c r="D802" s="56"/>
      <c r="E802" s="57"/>
      <c r="F802" s="58"/>
    </row>
    <row r="803" ht="16.5" customHeight="1">
      <c r="A803" s="55"/>
      <c r="C803" s="2"/>
      <c r="D803" s="56"/>
      <c r="E803" s="57"/>
      <c r="F803" s="58"/>
    </row>
    <row r="804" ht="16.5" customHeight="1">
      <c r="A804" s="55"/>
      <c r="C804" s="2"/>
      <c r="D804" s="56"/>
      <c r="E804" s="57"/>
      <c r="F804" s="58"/>
    </row>
    <row r="805" ht="16.5" customHeight="1">
      <c r="A805" s="55"/>
      <c r="C805" s="2"/>
      <c r="D805" s="56"/>
      <c r="E805" s="57"/>
      <c r="F805" s="58"/>
    </row>
    <row r="806" ht="16.5" customHeight="1">
      <c r="A806" s="55"/>
      <c r="C806" s="2"/>
      <c r="D806" s="56"/>
      <c r="E806" s="57"/>
      <c r="F806" s="58"/>
    </row>
    <row r="807" ht="16.5" customHeight="1">
      <c r="A807" s="55"/>
      <c r="C807" s="2"/>
      <c r="D807" s="56"/>
      <c r="E807" s="57"/>
      <c r="F807" s="58"/>
    </row>
    <row r="808" ht="16.5" customHeight="1">
      <c r="A808" s="55"/>
      <c r="C808" s="2"/>
      <c r="D808" s="56"/>
      <c r="E808" s="57"/>
      <c r="F808" s="58"/>
    </row>
    <row r="809" ht="16.5" customHeight="1">
      <c r="A809" s="55"/>
      <c r="C809" s="2"/>
      <c r="D809" s="56"/>
      <c r="E809" s="57"/>
      <c r="F809" s="58"/>
    </row>
    <row r="810" ht="16.5" customHeight="1">
      <c r="A810" s="55"/>
      <c r="C810" s="2"/>
      <c r="D810" s="56"/>
      <c r="E810" s="57"/>
      <c r="F810" s="58"/>
    </row>
    <row r="811" ht="16.5" customHeight="1">
      <c r="A811" s="55"/>
      <c r="C811" s="2"/>
      <c r="D811" s="56"/>
      <c r="E811" s="57"/>
      <c r="F811" s="58"/>
    </row>
    <row r="812" ht="16.5" customHeight="1">
      <c r="A812" s="55"/>
      <c r="C812" s="2"/>
      <c r="D812" s="56"/>
      <c r="E812" s="57"/>
      <c r="F812" s="58"/>
    </row>
    <row r="813" ht="16.5" customHeight="1">
      <c r="A813" s="55"/>
      <c r="C813" s="2"/>
      <c r="D813" s="56"/>
      <c r="E813" s="57"/>
      <c r="F813" s="58"/>
    </row>
    <row r="814" ht="16.5" customHeight="1">
      <c r="A814" s="55"/>
      <c r="C814" s="2"/>
      <c r="D814" s="56"/>
      <c r="E814" s="57"/>
      <c r="F814" s="58"/>
    </row>
    <row r="815" ht="16.5" customHeight="1">
      <c r="A815" s="55"/>
      <c r="C815" s="2"/>
      <c r="D815" s="56"/>
      <c r="E815" s="57"/>
      <c r="F815" s="58"/>
    </row>
    <row r="816" ht="16.5" customHeight="1">
      <c r="A816" s="55"/>
      <c r="C816" s="2"/>
      <c r="D816" s="56"/>
      <c r="E816" s="57"/>
      <c r="F816" s="58"/>
    </row>
    <row r="817" ht="16.5" customHeight="1">
      <c r="A817" s="55"/>
      <c r="C817" s="2"/>
      <c r="D817" s="56"/>
      <c r="E817" s="57"/>
      <c r="F817" s="58"/>
    </row>
    <row r="818" ht="16.5" customHeight="1">
      <c r="A818" s="55"/>
      <c r="C818" s="2"/>
      <c r="D818" s="56"/>
      <c r="E818" s="57"/>
      <c r="F818" s="58"/>
    </row>
    <row r="819" ht="16.5" customHeight="1">
      <c r="A819" s="55"/>
      <c r="C819" s="2"/>
      <c r="D819" s="56"/>
      <c r="E819" s="57"/>
      <c r="F819" s="58"/>
    </row>
    <row r="820" ht="16.5" customHeight="1">
      <c r="A820" s="55"/>
      <c r="C820" s="2"/>
      <c r="D820" s="56"/>
      <c r="E820" s="57"/>
      <c r="F820" s="58"/>
    </row>
    <row r="821" ht="16.5" customHeight="1">
      <c r="A821" s="55"/>
      <c r="C821" s="2"/>
      <c r="D821" s="56"/>
      <c r="E821" s="57"/>
      <c r="F821" s="58"/>
    </row>
    <row r="822" ht="16.5" customHeight="1">
      <c r="A822" s="55"/>
      <c r="C822" s="2"/>
      <c r="D822" s="56"/>
      <c r="E822" s="57"/>
      <c r="F822" s="58"/>
    </row>
    <row r="823" ht="16.5" customHeight="1">
      <c r="A823" s="55"/>
      <c r="C823" s="2"/>
      <c r="D823" s="56"/>
      <c r="E823" s="57"/>
      <c r="F823" s="58"/>
    </row>
    <row r="824" ht="16.5" customHeight="1">
      <c r="A824" s="55"/>
      <c r="C824" s="2"/>
      <c r="D824" s="56"/>
      <c r="E824" s="57"/>
      <c r="F824" s="58"/>
    </row>
    <row r="825" ht="16.5" customHeight="1">
      <c r="A825" s="55"/>
      <c r="C825" s="2"/>
      <c r="D825" s="56"/>
      <c r="E825" s="57"/>
      <c r="F825" s="58"/>
    </row>
    <row r="826" ht="16.5" customHeight="1">
      <c r="A826" s="55"/>
      <c r="C826" s="2"/>
      <c r="D826" s="56"/>
      <c r="E826" s="57"/>
      <c r="F826" s="58"/>
    </row>
    <row r="827" ht="16.5" customHeight="1">
      <c r="A827" s="55"/>
      <c r="C827" s="2"/>
      <c r="D827" s="56"/>
      <c r="E827" s="57"/>
      <c r="F827" s="58"/>
    </row>
    <row r="828" ht="16.5" customHeight="1">
      <c r="A828" s="55"/>
      <c r="C828" s="2"/>
      <c r="D828" s="56"/>
      <c r="E828" s="57"/>
      <c r="F828" s="58"/>
    </row>
    <row r="829" ht="16.5" customHeight="1">
      <c r="A829" s="55"/>
      <c r="C829" s="2"/>
      <c r="D829" s="56"/>
      <c r="E829" s="57"/>
      <c r="F829" s="58"/>
    </row>
    <row r="830" ht="16.5" customHeight="1">
      <c r="A830" s="55"/>
      <c r="C830" s="2"/>
      <c r="D830" s="56"/>
      <c r="E830" s="57"/>
      <c r="F830" s="58"/>
    </row>
    <row r="831" ht="16.5" customHeight="1">
      <c r="A831" s="55"/>
      <c r="C831" s="2"/>
      <c r="D831" s="56"/>
      <c r="E831" s="57"/>
      <c r="F831" s="58"/>
    </row>
    <row r="832" ht="16.5" customHeight="1">
      <c r="A832" s="55"/>
      <c r="C832" s="2"/>
      <c r="D832" s="56"/>
      <c r="E832" s="57"/>
      <c r="F832" s="58"/>
    </row>
    <row r="833" ht="16.5" customHeight="1">
      <c r="A833" s="55"/>
      <c r="C833" s="2"/>
      <c r="D833" s="56"/>
      <c r="E833" s="57"/>
      <c r="F833" s="58"/>
    </row>
    <row r="834" ht="16.5" customHeight="1">
      <c r="A834" s="55"/>
      <c r="C834" s="2"/>
      <c r="D834" s="56"/>
      <c r="E834" s="57"/>
      <c r="F834" s="58"/>
    </row>
    <row r="835" ht="16.5" customHeight="1">
      <c r="A835" s="55"/>
      <c r="C835" s="2"/>
      <c r="D835" s="56"/>
      <c r="E835" s="57"/>
      <c r="F835" s="58"/>
    </row>
    <row r="836" ht="16.5" customHeight="1">
      <c r="A836" s="55"/>
      <c r="C836" s="2"/>
      <c r="D836" s="56"/>
      <c r="E836" s="57"/>
      <c r="F836" s="58"/>
    </row>
    <row r="837" ht="16.5" customHeight="1">
      <c r="A837" s="55"/>
      <c r="C837" s="2"/>
      <c r="D837" s="56"/>
      <c r="E837" s="57"/>
      <c r="F837" s="58"/>
    </row>
    <row r="838" ht="16.5" customHeight="1">
      <c r="A838" s="55"/>
      <c r="C838" s="2"/>
      <c r="D838" s="56"/>
      <c r="E838" s="57"/>
      <c r="F838" s="58"/>
    </row>
    <row r="839" ht="16.5" customHeight="1">
      <c r="A839" s="55"/>
      <c r="C839" s="2"/>
      <c r="D839" s="56"/>
      <c r="E839" s="57"/>
      <c r="F839" s="58"/>
    </row>
    <row r="840" ht="16.5" customHeight="1">
      <c r="A840" s="55"/>
      <c r="C840" s="2"/>
      <c r="D840" s="56"/>
      <c r="E840" s="57"/>
      <c r="F840" s="58"/>
    </row>
    <row r="841" ht="16.5" customHeight="1">
      <c r="A841" s="55"/>
      <c r="C841" s="2"/>
      <c r="D841" s="56"/>
      <c r="E841" s="57"/>
      <c r="F841" s="58"/>
    </row>
    <row r="842" ht="16.5" customHeight="1">
      <c r="A842" s="55"/>
      <c r="C842" s="2"/>
      <c r="D842" s="56"/>
      <c r="E842" s="57"/>
      <c r="F842" s="58"/>
    </row>
    <row r="843" ht="16.5" customHeight="1">
      <c r="A843" s="55"/>
      <c r="C843" s="2"/>
      <c r="D843" s="56"/>
      <c r="E843" s="57"/>
      <c r="F843" s="58"/>
    </row>
    <row r="844" ht="16.5" customHeight="1">
      <c r="A844" s="55"/>
      <c r="C844" s="2"/>
      <c r="D844" s="56"/>
      <c r="E844" s="57"/>
      <c r="F844" s="58"/>
    </row>
    <row r="845" ht="16.5" customHeight="1">
      <c r="A845" s="55"/>
      <c r="C845" s="2"/>
      <c r="D845" s="56"/>
      <c r="E845" s="57"/>
      <c r="F845" s="58"/>
    </row>
    <row r="846" ht="16.5" customHeight="1">
      <c r="A846" s="55"/>
      <c r="C846" s="2"/>
      <c r="D846" s="56"/>
      <c r="E846" s="57"/>
      <c r="F846" s="58"/>
    </row>
    <row r="847" ht="16.5" customHeight="1">
      <c r="A847" s="55"/>
      <c r="C847" s="2"/>
      <c r="D847" s="56"/>
      <c r="E847" s="57"/>
      <c r="F847" s="58"/>
    </row>
    <row r="848" ht="16.5" customHeight="1">
      <c r="A848" s="55"/>
      <c r="C848" s="2"/>
      <c r="D848" s="56"/>
      <c r="E848" s="57"/>
      <c r="F848" s="58"/>
    </row>
    <row r="849" ht="16.5" customHeight="1">
      <c r="A849" s="55"/>
      <c r="C849" s="2"/>
      <c r="D849" s="56"/>
      <c r="E849" s="57"/>
      <c r="F849" s="58"/>
    </row>
    <row r="850" ht="16.5" customHeight="1">
      <c r="A850" s="55"/>
      <c r="C850" s="2"/>
      <c r="D850" s="56"/>
      <c r="E850" s="57"/>
      <c r="F850" s="58"/>
    </row>
    <row r="851" ht="16.5" customHeight="1">
      <c r="A851" s="55"/>
      <c r="C851" s="2"/>
      <c r="D851" s="56"/>
      <c r="E851" s="57"/>
      <c r="F851" s="58"/>
    </row>
    <row r="852" ht="16.5" customHeight="1">
      <c r="A852" s="55"/>
      <c r="C852" s="2"/>
      <c r="D852" s="56"/>
      <c r="E852" s="57"/>
      <c r="F852" s="58"/>
    </row>
    <row r="853" ht="16.5" customHeight="1">
      <c r="A853" s="55"/>
      <c r="C853" s="2"/>
      <c r="D853" s="56"/>
      <c r="E853" s="57"/>
      <c r="F853" s="58"/>
    </row>
    <row r="854" ht="16.5" customHeight="1">
      <c r="A854" s="55"/>
      <c r="C854" s="2"/>
      <c r="D854" s="56"/>
      <c r="E854" s="57"/>
      <c r="F854" s="58"/>
    </row>
    <row r="855" ht="16.5" customHeight="1">
      <c r="A855" s="55"/>
      <c r="C855" s="2"/>
      <c r="D855" s="56"/>
      <c r="E855" s="57"/>
      <c r="F855" s="58"/>
    </row>
    <row r="856" ht="16.5" customHeight="1">
      <c r="A856" s="55"/>
      <c r="C856" s="2"/>
      <c r="D856" s="56"/>
      <c r="E856" s="57"/>
      <c r="F856" s="58"/>
    </row>
    <row r="857" ht="16.5" customHeight="1">
      <c r="A857" s="55"/>
      <c r="C857" s="2"/>
      <c r="D857" s="56"/>
      <c r="E857" s="57"/>
      <c r="F857" s="58"/>
    </row>
    <row r="858" ht="16.5" customHeight="1">
      <c r="A858" s="55"/>
      <c r="C858" s="2"/>
      <c r="D858" s="56"/>
      <c r="E858" s="57"/>
      <c r="F858" s="58"/>
    </row>
    <row r="859" ht="16.5" customHeight="1">
      <c r="A859" s="55"/>
      <c r="C859" s="2"/>
      <c r="D859" s="56"/>
      <c r="E859" s="57"/>
      <c r="F859" s="58"/>
    </row>
    <row r="860" ht="16.5" customHeight="1">
      <c r="A860" s="55"/>
      <c r="C860" s="2"/>
      <c r="D860" s="56"/>
      <c r="E860" s="57"/>
      <c r="F860" s="58"/>
    </row>
    <row r="861" ht="16.5" customHeight="1">
      <c r="A861" s="55"/>
      <c r="C861" s="2"/>
      <c r="D861" s="56"/>
      <c r="E861" s="57"/>
      <c r="F861" s="58"/>
    </row>
    <row r="862" ht="16.5" customHeight="1">
      <c r="A862" s="55"/>
      <c r="C862" s="2"/>
      <c r="D862" s="56"/>
      <c r="E862" s="57"/>
      <c r="F862" s="58"/>
    </row>
    <row r="863" ht="16.5" customHeight="1">
      <c r="A863" s="55"/>
      <c r="C863" s="2"/>
      <c r="D863" s="56"/>
      <c r="E863" s="57"/>
      <c r="F863" s="58"/>
    </row>
    <row r="864" ht="16.5" customHeight="1">
      <c r="A864" s="55"/>
      <c r="C864" s="2"/>
      <c r="D864" s="56"/>
      <c r="E864" s="57"/>
      <c r="F864" s="58"/>
    </row>
    <row r="865" ht="16.5" customHeight="1">
      <c r="A865" s="55"/>
      <c r="C865" s="2"/>
      <c r="D865" s="56"/>
      <c r="E865" s="57"/>
      <c r="F865" s="58"/>
    </row>
    <row r="866" ht="16.5" customHeight="1">
      <c r="A866" s="55"/>
      <c r="C866" s="2"/>
      <c r="D866" s="56"/>
      <c r="E866" s="57"/>
      <c r="F866" s="58"/>
    </row>
    <row r="867" ht="16.5" customHeight="1">
      <c r="A867" s="55"/>
      <c r="C867" s="2"/>
      <c r="D867" s="56"/>
      <c r="E867" s="57"/>
      <c r="F867" s="58"/>
    </row>
    <row r="868" ht="16.5" customHeight="1">
      <c r="A868" s="55"/>
      <c r="C868" s="2"/>
      <c r="D868" s="56"/>
      <c r="E868" s="57"/>
      <c r="F868" s="58"/>
    </row>
    <row r="869" ht="16.5" customHeight="1">
      <c r="A869" s="55"/>
      <c r="C869" s="2"/>
      <c r="D869" s="56"/>
      <c r="E869" s="57"/>
      <c r="F869" s="58"/>
    </row>
    <row r="870" ht="16.5" customHeight="1">
      <c r="A870" s="55"/>
      <c r="C870" s="2"/>
      <c r="D870" s="56"/>
      <c r="E870" s="57"/>
      <c r="F870" s="58"/>
    </row>
    <row r="871" ht="16.5" customHeight="1">
      <c r="A871" s="55"/>
      <c r="C871" s="2"/>
      <c r="D871" s="56"/>
      <c r="E871" s="57"/>
      <c r="F871" s="58"/>
    </row>
    <row r="872" ht="16.5" customHeight="1">
      <c r="A872" s="55"/>
      <c r="C872" s="2"/>
      <c r="D872" s="56"/>
      <c r="E872" s="57"/>
      <c r="F872" s="58"/>
    </row>
    <row r="873" ht="16.5" customHeight="1">
      <c r="A873" s="55"/>
      <c r="C873" s="2"/>
      <c r="D873" s="56"/>
      <c r="E873" s="57"/>
      <c r="F873" s="58"/>
    </row>
    <row r="874" ht="16.5" customHeight="1">
      <c r="A874" s="55"/>
      <c r="C874" s="2"/>
      <c r="D874" s="56"/>
      <c r="E874" s="57"/>
      <c r="F874" s="58"/>
    </row>
    <row r="875" ht="16.5" customHeight="1">
      <c r="A875" s="55"/>
      <c r="C875" s="2"/>
      <c r="D875" s="56"/>
      <c r="E875" s="57"/>
      <c r="F875" s="58"/>
    </row>
    <row r="876" ht="16.5" customHeight="1">
      <c r="A876" s="55"/>
      <c r="C876" s="2"/>
      <c r="D876" s="56"/>
      <c r="E876" s="57"/>
      <c r="F876" s="58"/>
    </row>
    <row r="877" ht="16.5" customHeight="1">
      <c r="A877" s="55"/>
      <c r="C877" s="2"/>
      <c r="D877" s="56"/>
      <c r="E877" s="57"/>
      <c r="F877" s="58"/>
    </row>
    <row r="878" ht="16.5" customHeight="1">
      <c r="A878" s="55"/>
      <c r="C878" s="2"/>
      <c r="D878" s="56"/>
      <c r="E878" s="57"/>
      <c r="F878" s="58"/>
    </row>
    <row r="879" ht="16.5" customHeight="1">
      <c r="A879" s="55"/>
      <c r="C879" s="2"/>
      <c r="D879" s="56"/>
      <c r="E879" s="57"/>
      <c r="F879" s="58"/>
    </row>
    <row r="880" ht="16.5" customHeight="1">
      <c r="A880" s="55"/>
      <c r="C880" s="2"/>
      <c r="D880" s="56"/>
      <c r="E880" s="57"/>
      <c r="F880" s="58"/>
    </row>
    <row r="881" ht="16.5" customHeight="1">
      <c r="A881" s="55"/>
      <c r="C881" s="2"/>
      <c r="D881" s="56"/>
      <c r="E881" s="57"/>
      <c r="F881" s="58"/>
    </row>
    <row r="882" ht="16.5" customHeight="1">
      <c r="A882" s="55"/>
      <c r="C882" s="2"/>
      <c r="D882" s="56"/>
      <c r="E882" s="57"/>
      <c r="F882" s="58"/>
    </row>
    <row r="883" ht="16.5" customHeight="1">
      <c r="A883" s="55"/>
      <c r="C883" s="2"/>
      <c r="D883" s="56"/>
      <c r="E883" s="57"/>
      <c r="F883" s="58"/>
    </row>
    <row r="884" ht="16.5" customHeight="1">
      <c r="A884" s="55"/>
      <c r="C884" s="2"/>
      <c r="D884" s="56"/>
      <c r="E884" s="57"/>
      <c r="F884" s="58"/>
    </row>
    <row r="885" ht="16.5" customHeight="1">
      <c r="A885" s="55"/>
      <c r="C885" s="2"/>
      <c r="D885" s="56"/>
      <c r="E885" s="57"/>
      <c r="F885" s="58"/>
    </row>
    <row r="886" ht="16.5" customHeight="1">
      <c r="A886" s="55"/>
      <c r="C886" s="2"/>
      <c r="D886" s="56"/>
      <c r="E886" s="57"/>
      <c r="F886" s="58"/>
    </row>
    <row r="887" ht="16.5" customHeight="1">
      <c r="A887" s="55"/>
      <c r="C887" s="2"/>
      <c r="D887" s="56"/>
      <c r="E887" s="57"/>
      <c r="F887" s="58"/>
    </row>
    <row r="888" ht="16.5" customHeight="1">
      <c r="A888" s="55"/>
      <c r="C888" s="2"/>
      <c r="D888" s="56"/>
      <c r="E888" s="57"/>
      <c r="F888" s="58"/>
    </row>
    <row r="889" ht="16.5" customHeight="1">
      <c r="A889" s="55"/>
      <c r="C889" s="2"/>
      <c r="D889" s="56"/>
      <c r="E889" s="57"/>
      <c r="F889" s="58"/>
    </row>
    <row r="890" ht="16.5" customHeight="1">
      <c r="A890" s="55"/>
      <c r="C890" s="2"/>
      <c r="D890" s="56"/>
      <c r="E890" s="57"/>
      <c r="F890" s="58"/>
    </row>
    <row r="891" ht="16.5" customHeight="1">
      <c r="A891" s="55"/>
      <c r="C891" s="2"/>
      <c r="D891" s="56"/>
      <c r="E891" s="57"/>
      <c r="F891" s="58"/>
    </row>
    <row r="892" ht="16.5" customHeight="1">
      <c r="A892" s="55"/>
      <c r="C892" s="2"/>
      <c r="D892" s="56"/>
      <c r="E892" s="57"/>
      <c r="F892" s="58"/>
    </row>
    <row r="893" ht="16.5" customHeight="1">
      <c r="A893" s="55"/>
      <c r="C893" s="2"/>
      <c r="D893" s="56"/>
      <c r="E893" s="57"/>
      <c r="F893" s="58"/>
    </row>
    <row r="894" ht="16.5" customHeight="1">
      <c r="A894" s="55"/>
      <c r="C894" s="2"/>
      <c r="D894" s="56"/>
      <c r="E894" s="57"/>
      <c r="F894" s="58"/>
    </row>
    <row r="895" ht="16.5" customHeight="1">
      <c r="A895" s="55"/>
      <c r="C895" s="2"/>
      <c r="D895" s="56"/>
      <c r="E895" s="57"/>
      <c r="F895" s="58"/>
    </row>
    <row r="896" ht="16.5" customHeight="1">
      <c r="A896" s="55"/>
      <c r="C896" s="2"/>
      <c r="D896" s="56"/>
      <c r="E896" s="57"/>
      <c r="F896" s="58"/>
    </row>
    <row r="897" ht="16.5" customHeight="1">
      <c r="A897" s="55"/>
      <c r="C897" s="2"/>
      <c r="D897" s="56"/>
      <c r="E897" s="57"/>
      <c r="F897" s="58"/>
    </row>
    <row r="898" ht="16.5" customHeight="1">
      <c r="A898" s="55"/>
      <c r="C898" s="2"/>
      <c r="D898" s="56"/>
      <c r="E898" s="57"/>
      <c r="F898" s="58"/>
    </row>
    <row r="899" ht="16.5" customHeight="1">
      <c r="A899" s="55"/>
      <c r="C899" s="2"/>
      <c r="D899" s="56"/>
      <c r="E899" s="57"/>
      <c r="F899" s="58"/>
    </row>
    <row r="900" ht="16.5" customHeight="1">
      <c r="A900" s="55"/>
      <c r="C900" s="2"/>
      <c r="D900" s="56"/>
      <c r="E900" s="57"/>
      <c r="F900" s="58"/>
    </row>
    <row r="901" ht="16.5" customHeight="1">
      <c r="A901" s="55"/>
      <c r="C901" s="2"/>
      <c r="D901" s="56"/>
      <c r="E901" s="57"/>
      <c r="F901" s="58"/>
    </row>
    <row r="902" ht="16.5" customHeight="1">
      <c r="A902" s="55"/>
      <c r="C902" s="2"/>
      <c r="D902" s="56"/>
      <c r="E902" s="57"/>
      <c r="F902" s="58"/>
    </row>
    <row r="903" ht="16.5" customHeight="1">
      <c r="A903" s="55"/>
      <c r="C903" s="2"/>
      <c r="D903" s="56"/>
      <c r="E903" s="57"/>
      <c r="F903" s="58"/>
    </row>
    <row r="904" ht="16.5" customHeight="1">
      <c r="A904" s="55"/>
      <c r="C904" s="2"/>
      <c r="D904" s="56"/>
      <c r="E904" s="57"/>
      <c r="F904" s="58"/>
    </row>
    <row r="905" ht="16.5" customHeight="1">
      <c r="A905" s="55"/>
      <c r="C905" s="2"/>
      <c r="D905" s="56"/>
      <c r="E905" s="57"/>
      <c r="F905" s="58"/>
    </row>
    <row r="906" ht="16.5" customHeight="1">
      <c r="A906" s="55"/>
      <c r="C906" s="2"/>
      <c r="D906" s="56"/>
      <c r="E906" s="57"/>
      <c r="F906" s="58"/>
    </row>
    <row r="907" ht="16.5" customHeight="1">
      <c r="A907" s="55"/>
      <c r="C907" s="2"/>
      <c r="D907" s="56"/>
      <c r="E907" s="57"/>
      <c r="F907" s="58"/>
    </row>
    <row r="908" ht="16.5" customHeight="1">
      <c r="A908" s="55"/>
      <c r="C908" s="2"/>
      <c r="D908" s="56"/>
      <c r="E908" s="57"/>
      <c r="F908" s="58"/>
    </row>
    <row r="909" ht="16.5" customHeight="1">
      <c r="A909" s="55"/>
      <c r="C909" s="2"/>
      <c r="D909" s="56"/>
      <c r="E909" s="57"/>
      <c r="F909" s="58"/>
    </row>
    <row r="910" ht="16.5" customHeight="1">
      <c r="A910" s="55"/>
      <c r="C910" s="2"/>
      <c r="D910" s="56"/>
      <c r="E910" s="57"/>
      <c r="F910" s="58"/>
    </row>
    <row r="911" ht="16.5" customHeight="1">
      <c r="A911" s="55"/>
      <c r="C911" s="2"/>
      <c r="D911" s="56"/>
      <c r="E911" s="57"/>
      <c r="F911" s="58"/>
    </row>
    <row r="912" ht="16.5" customHeight="1">
      <c r="A912" s="55"/>
      <c r="C912" s="2"/>
      <c r="D912" s="56"/>
      <c r="E912" s="57"/>
      <c r="F912" s="58"/>
    </row>
    <row r="913" ht="16.5" customHeight="1">
      <c r="A913" s="55"/>
      <c r="C913" s="2"/>
      <c r="D913" s="56"/>
      <c r="E913" s="57"/>
      <c r="F913" s="58"/>
    </row>
    <row r="914" ht="16.5" customHeight="1">
      <c r="A914" s="55"/>
      <c r="C914" s="2"/>
      <c r="D914" s="56"/>
      <c r="E914" s="57"/>
      <c r="F914" s="58"/>
    </row>
    <row r="915" ht="16.5" customHeight="1">
      <c r="A915" s="55"/>
      <c r="C915" s="2"/>
      <c r="D915" s="56"/>
      <c r="E915" s="57"/>
      <c r="F915" s="58"/>
    </row>
    <row r="916" ht="16.5" customHeight="1">
      <c r="A916" s="55"/>
      <c r="C916" s="2"/>
      <c r="D916" s="56"/>
      <c r="E916" s="57"/>
      <c r="F916" s="58"/>
    </row>
    <row r="917" ht="16.5" customHeight="1">
      <c r="A917" s="55"/>
      <c r="C917" s="2"/>
      <c r="D917" s="56"/>
      <c r="E917" s="57"/>
      <c r="F917" s="58"/>
    </row>
    <row r="918" ht="16.5" customHeight="1">
      <c r="A918" s="55"/>
      <c r="C918" s="2"/>
      <c r="D918" s="56"/>
      <c r="E918" s="57"/>
      <c r="F918" s="58"/>
    </row>
    <row r="919" ht="16.5" customHeight="1">
      <c r="A919" s="55"/>
      <c r="C919" s="2"/>
      <c r="D919" s="56"/>
      <c r="E919" s="57"/>
      <c r="F919" s="58"/>
    </row>
    <row r="920" ht="16.5" customHeight="1">
      <c r="A920" s="55"/>
      <c r="C920" s="2"/>
      <c r="D920" s="56"/>
      <c r="E920" s="57"/>
      <c r="F920" s="58"/>
    </row>
    <row r="921" ht="16.5" customHeight="1">
      <c r="A921" s="55"/>
      <c r="C921" s="2"/>
      <c r="D921" s="56"/>
      <c r="E921" s="57"/>
      <c r="F921" s="58"/>
    </row>
    <row r="922" ht="16.5" customHeight="1">
      <c r="A922" s="55"/>
      <c r="C922" s="2"/>
      <c r="D922" s="56"/>
      <c r="E922" s="57"/>
      <c r="F922" s="58"/>
    </row>
    <row r="923" ht="16.5" customHeight="1">
      <c r="A923" s="55"/>
      <c r="C923" s="2"/>
      <c r="D923" s="56"/>
      <c r="E923" s="57"/>
      <c r="F923" s="58"/>
    </row>
    <row r="924" ht="16.5" customHeight="1">
      <c r="A924" s="55"/>
      <c r="C924" s="2"/>
      <c r="D924" s="56"/>
      <c r="E924" s="57"/>
      <c r="F924" s="58"/>
    </row>
    <row r="925" ht="16.5" customHeight="1">
      <c r="A925" s="55"/>
      <c r="C925" s="2"/>
      <c r="D925" s="56"/>
      <c r="E925" s="57"/>
      <c r="F925" s="58"/>
    </row>
    <row r="926" ht="16.5" customHeight="1">
      <c r="A926" s="55"/>
      <c r="C926" s="2"/>
      <c r="D926" s="56"/>
      <c r="E926" s="57"/>
      <c r="F926" s="58"/>
    </row>
    <row r="927" ht="16.5" customHeight="1">
      <c r="A927" s="55"/>
      <c r="C927" s="2"/>
      <c r="D927" s="56"/>
      <c r="E927" s="57"/>
      <c r="F927" s="58"/>
    </row>
    <row r="928" ht="16.5" customHeight="1">
      <c r="A928" s="55"/>
      <c r="C928" s="2"/>
      <c r="D928" s="56"/>
      <c r="E928" s="57"/>
      <c r="F928" s="58"/>
    </row>
    <row r="929" ht="16.5" customHeight="1">
      <c r="A929" s="55"/>
      <c r="C929" s="2"/>
      <c r="D929" s="56"/>
      <c r="E929" s="57"/>
      <c r="F929" s="58"/>
    </row>
    <row r="930" ht="16.5" customHeight="1">
      <c r="A930" s="55"/>
      <c r="C930" s="2"/>
      <c r="D930" s="56"/>
      <c r="E930" s="57"/>
      <c r="F930" s="58"/>
    </row>
    <row r="931" ht="16.5" customHeight="1">
      <c r="A931" s="55"/>
      <c r="C931" s="2"/>
      <c r="D931" s="56"/>
      <c r="E931" s="57"/>
      <c r="F931" s="58"/>
    </row>
    <row r="932" ht="16.5" customHeight="1">
      <c r="A932" s="55"/>
      <c r="C932" s="2"/>
      <c r="D932" s="56"/>
      <c r="E932" s="57"/>
      <c r="F932" s="58"/>
    </row>
    <row r="933" ht="16.5" customHeight="1">
      <c r="A933" s="55"/>
      <c r="C933" s="2"/>
      <c r="D933" s="56"/>
      <c r="E933" s="57"/>
      <c r="F933" s="58"/>
    </row>
    <row r="934" ht="16.5" customHeight="1">
      <c r="A934" s="55"/>
      <c r="C934" s="2"/>
      <c r="D934" s="56"/>
      <c r="E934" s="57"/>
      <c r="F934" s="58"/>
    </row>
    <row r="935" ht="16.5" customHeight="1">
      <c r="A935" s="55"/>
      <c r="C935" s="2"/>
      <c r="D935" s="56"/>
      <c r="E935" s="57"/>
      <c r="F935" s="58"/>
    </row>
    <row r="936" ht="16.5" customHeight="1">
      <c r="A936" s="55"/>
      <c r="C936" s="2"/>
      <c r="D936" s="56"/>
      <c r="E936" s="57"/>
      <c r="F936" s="58"/>
    </row>
    <row r="937" ht="16.5" customHeight="1">
      <c r="A937" s="55"/>
      <c r="C937" s="2"/>
      <c r="D937" s="56"/>
      <c r="E937" s="57"/>
      <c r="F937" s="58"/>
    </row>
    <row r="938" ht="16.5" customHeight="1">
      <c r="A938" s="55"/>
      <c r="C938" s="2"/>
      <c r="D938" s="56"/>
      <c r="E938" s="57"/>
      <c r="F938" s="58"/>
    </row>
    <row r="939" ht="16.5" customHeight="1">
      <c r="A939" s="55"/>
      <c r="C939" s="2"/>
      <c r="D939" s="56"/>
      <c r="E939" s="57"/>
      <c r="F939" s="58"/>
    </row>
    <row r="940" ht="16.5" customHeight="1">
      <c r="A940" s="55"/>
      <c r="C940" s="2"/>
      <c r="D940" s="56"/>
      <c r="E940" s="57"/>
      <c r="F940" s="58"/>
    </row>
    <row r="941" ht="16.5" customHeight="1">
      <c r="A941" s="55"/>
      <c r="C941" s="2"/>
      <c r="D941" s="56"/>
      <c r="E941" s="57"/>
      <c r="F941" s="58"/>
    </row>
    <row r="942" ht="16.5" customHeight="1">
      <c r="A942" s="55"/>
      <c r="C942" s="2"/>
      <c r="D942" s="56"/>
      <c r="E942" s="57"/>
      <c r="F942" s="58"/>
    </row>
    <row r="943" ht="16.5" customHeight="1">
      <c r="A943" s="55"/>
      <c r="C943" s="2"/>
      <c r="D943" s="56"/>
      <c r="E943" s="57"/>
      <c r="F943" s="58"/>
    </row>
    <row r="944" ht="16.5" customHeight="1">
      <c r="A944" s="55"/>
      <c r="C944" s="2"/>
      <c r="D944" s="56"/>
      <c r="E944" s="57"/>
      <c r="F944" s="58"/>
    </row>
    <row r="945" ht="16.5" customHeight="1">
      <c r="A945" s="55"/>
      <c r="C945" s="2"/>
      <c r="D945" s="56"/>
      <c r="E945" s="57"/>
      <c r="F945" s="58"/>
    </row>
    <row r="946" ht="16.5" customHeight="1">
      <c r="A946" s="55"/>
      <c r="C946" s="2"/>
      <c r="D946" s="56"/>
      <c r="E946" s="57"/>
      <c r="F946" s="58"/>
    </row>
    <row r="947" ht="16.5" customHeight="1">
      <c r="A947" s="55"/>
      <c r="C947" s="2"/>
      <c r="D947" s="56"/>
      <c r="E947" s="57"/>
      <c r="F947" s="58"/>
    </row>
    <row r="948" ht="16.5" customHeight="1">
      <c r="A948" s="55"/>
      <c r="C948" s="2"/>
      <c r="D948" s="56"/>
      <c r="E948" s="57"/>
      <c r="F948" s="58"/>
    </row>
    <row r="949" ht="16.5" customHeight="1">
      <c r="A949" s="55"/>
      <c r="C949" s="2"/>
      <c r="D949" s="56"/>
      <c r="E949" s="57"/>
      <c r="F949" s="58"/>
    </row>
    <row r="950" ht="16.5" customHeight="1">
      <c r="A950" s="55"/>
      <c r="C950" s="2"/>
      <c r="D950" s="56"/>
      <c r="E950" s="57"/>
      <c r="F950" s="58"/>
    </row>
    <row r="951" ht="16.5" customHeight="1">
      <c r="A951" s="55"/>
      <c r="C951" s="2"/>
      <c r="D951" s="56"/>
      <c r="E951" s="57"/>
      <c r="F951" s="58"/>
    </row>
    <row r="952" ht="16.5" customHeight="1">
      <c r="A952" s="55"/>
      <c r="C952" s="2"/>
      <c r="D952" s="56"/>
      <c r="E952" s="57"/>
      <c r="F952" s="58"/>
    </row>
    <row r="953" ht="16.5" customHeight="1">
      <c r="A953" s="55"/>
      <c r="C953" s="2"/>
      <c r="D953" s="56"/>
      <c r="E953" s="57"/>
      <c r="F953" s="58"/>
    </row>
    <row r="954" ht="16.5" customHeight="1">
      <c r="A954" s="55"/>
      <c r="C954" s="2"/>
      <c r="D954" s="56"/>
      <c r="E954" s="57"/>
      <c r="F954" s="58"/>
    </row>
    <row r="955" ht="16.5" customHeight="1">
      <c r="A955" s="55"/>
      <c r="C955" s="2"/>
      <c r="D955" s="56"/>
      <c r="E955" s="57"/>
      <c r="F955" s="58"/>
    </row>
    <row r="956" ht="16.5" customHeight="1">
      <c r="A956" s="55"/>
      <c r="C956" s="2"/>
      <c r="D956" s="56"/>
      <c r="E956" s="57"/>
      <c r="F956" s="58"/>
    </row>
    <row r="957" ht="16.5" customHeight="1">
      <c r="A957" s="55"/>
      <c r="C957" s="2"/>
      <c r="D957" s="56"/>
      <c r="E957" s="57"/>
      <c r="F957" s="58"/>
    </row>
    <row r="958" ht="16.5" customHeight="1">
      <c r="A958" s="55"/>
      <c r="C958" s="2"/>
      <c r="D958" s="56"/>
      <c r="E958" s="57"/>
      <c r="F958" s="58"/>
    </row>
    <row r="959" ht="16.5" customHeight="1">
      <c r="A959" s="55"/>
      <c r="C959" s="2"/>
      <c r="D959" s="56"/>
      <c r="E959" s="57"/>
      <c r="F959" s="58"/>
    </row>
    <row r="960" ht="16.5" customHeight="1">
      <c r="A960" s="55"/>
      <c r="C960" s="2"/>
      <c r="D960" s="56"/>
      <c r="E960" s="57"/>
      <c r="F960" s="58"/>
    </row>
    <row r="961" ht="16.5" customHeight="1">
      <c r="A961" s="55"/>
      <c r="C961" s="2"/>
      <c r="D961" s="56"/>
      <c r="E961" s="57"/>
      <c r="F961" s="58"/>
    </row>
    <row r="962" ht="16.5" customHeight="1">
      <c r="A962" s="55"/>
      <c r="C962" s="2"/>
      <c r="D962" s="56"/>
      <c r="E962" s="57"/>
      <c r="F962" s="58"/>
    </row>
    <row r="963" ht="16.5" customHeight="1">
      <c r="A963" s="55"/>
      <c r="C963" s="2"/>
      <c r="D963" s="56"/>
      <c r="E963" s="57"/>
      <c r="F963" s="58"/>
    </row>
    <row r="964" ht="16.5" customHeight="1">
      <c r="A964" s="55"/>
      <c r="C964" s="2"/>
      <c r="D964" s="56"/>
      <c r="E964" s="57"/>
      <c r="F964" s="58"/>
    </row>
    <row r="965" ht="16.5" customHeight="1">
      <c r="A965" s="55"/>
      <c r="C965" s="2"/>
      <c r="D965" s="56"/>
      <c r="E965" s="57"/>
      <c r="F965" s="58"/>
    </row>
    <row r="966" ht="16.5" customHeight="1">
      <c r="A966" s="55"/>
      <c r="C966" s="2"/>
      <c r="D966" s="56"/>
      <c r="E966" s="57"/>
      <c r="F966" s="58"/>
    </row>
    <row r="967" ht="16.5" customHeight="1">
      <c r="A967" s="55"/>
      <c r="C967" s="2"/>
      <c r="D967" s="56"/>
      <c r="E967" s="57"/>
      <c r="F967" s="58"/>
    </row>
    <row r="968" ht="16.5" customHeight="1">
      <c r="A968" s="55"/>
      <c r="C968" s="2"/>
      <c r="D968" s="56"/>
      <c r="E968" s="57"/>
      <c r="F968" s="58"/>
    </row>
    <row r="969" ht="16.5" customHeight="1">
      <c r="A969" s="55"/>
      <c r="C969" s="2"/>
      <c r="D969" s="56"/>
      <c r="E969" s="57"/>
      <c r="F969" s="58"/>
    </row>
    <row r="970" ht="16.5" customHeight="1">
      <c r="A970" s="55"/>
      <c r="C970" s="2"/>
      <c r="D970" s="56"/>
      <c r="E970" s="57"/>
      <c r="F970" s="58"/>
    </row>
    <row r="971" ht="16.5" customHeight="1">
      <c r="A971" s="55"/>
      <c r="C971" s="2"/>
      <c r="D971" s="56"/>
      <c r="E971" s="57"/>
      <c r="F971" s="58"/>
    </row>
    <row r="972" ht="16.5" customHeight="1">
      <c r="A972" s="55"/>
      <c r="C972" s="2"/>
      <c r="D972" s="56"/>
      <c r="E972" s="57"/>
      <c r="F972" s="58"/>
    </row>
    <row r="973" ht="16.5" customHeight="1">
      <c r="A973" s="55"/>
      <c r="C973" s="2"/>
      <c r="D973" s="56"/>
      <c r="E973" s="57"/>
      <c r="F973" s="58"/>
    </row>
    <row r="974" ht="16.5" customHeight="1">
      <c r="A974" s="55"/>
      <c r="C974" s="2"/>
      <c r="D974" s="56"/>
      <c r="E974" s="57"/>
      <c r="F974" s="58"/>
    </row>
    <row r="975" ht="16.5" customHeight="1">
      <c r="A975" s="55"/>
      <c r="C975" s="2"/>
      <c r="D975" s="56"/>
      <c r="E975" s="57"/>
      <c r="F975" s="58"/>
    </row>
    <row r="976" ht="16.5" customHeight="1">
      <c r="A976" s="55"/>
      <c r="C976" s="2"/>
      <c r="D976" s="56"/>
      <c r="E976" s="57"/>
      <c r="F976" s="58"/>
    </row>
    <row r="977" ht="16.5" customHeight="1">
      <c r="A977" s="55"/>
      <c r="C977" s="2"/>
      <c r="D977" s="56"/>
      <c r="E977" s="57"/>
      <c r="F977" s="58"/>
    </row>
    <row r="978" ht="16.5" customHeight="1">
      <c r="A978" s="55"/>
      <c r="C978" s="2"/>
      <c r="D978" s="56"/>
      <c r="E978" s="57"/>
      <c r="F978" s="58"/>
    </row>
    <row r="979" ht="16.5" customHeight="1">
      <c r="A979" s="55"/>
      <c r="C979" s="2"/>
      <c r="D979" s="56"/>
      <c r="E979" s="57"/>
      <c r="F979" s="58"/>
    </row>
    <row r="980" ht="16.5" customHeight="1">
      <c r="A980" s="55"/>
      <c r="C980" s="2"/>
      <c r="D980" s="56"/>
      <c r="E980" s="57"/>
      <c r="F980" s="58"/>
    </row>
    <row r="981" ht="16.5" customHeight="1">
      <c r="A981" s="55"/>
      <c r="C981" s="2"/>
      <c r="D981" s="56"/>
      <c r="E981" s="57"/>
      <c r="F981" s="58"/>
    </row>
    <row r="982" ht="16.5" customHeight="1">
      <c r="A982" s="55"/>
      <c r="C982" s="2"/>
      <c r="D982" s="56"/>
      <c r="E982" s="57"/>
      <c r="F982" s="58"/>
    </row>
    <row r="983" ht="16.5" customHeight="1">
      <c r="A983" s="55"/>
      <c r="C983" s="2"/>
      <c r="D983" s="56"/>
      <c r="E983" s="57"/>
      <c r="F983" s="58"/>
    </row>
    <row r="984" ht="16.5" customHeight="1">
      <c r="A984" s="55"/>
      <c r="C984" s="2"/>
      <c r="D984" s="56"/>
      <c r="E984" s="57"/>
      <c r="F984" s="58"/>
    </row>
    <row r="985" ht="16.5" customHeight="1">
      <c r="A985" s="55"/>
      <c r="C985" s="2"/>
      <c r="D985" s="56"/>
      <c r="E985" s="57"/>
      <c r="F985" s="58"/>
    </row>
    <row r="986" ht="16.5" customHeight="1">
      <c r="A986" s="55"/>
      <c r="C986" s="2"/>
      <c r="D986" s="56"/>
      <c r="E986" s="57"/>
      <c r="F986" s="58"/>
    </row>
    <row r="987" ht="16.5" customHeight="1">
      <c r="A987" s="55"/>
      <c r="C987" s="2"/>
      <c r="D987" s="56"/>
      <c r="E987" s="57"/>
      <c r="F987" s="58"/>
    </row>
    <row r="988" ht="16.5" customHeight="1">
      <c r="A988" s="55"/>
      <c r="C988" s="2"/>
      <c r="D988" s="56"/>
      <c r="E988" s="57"/>
      <c r="F988" s="58"/>
    </row>
    <row r="989" ht="16.5" customHeight="1">
      <c r="A989" s="55"/>
      <c r="C989" s="2"/>
      <c r="D989" s="56"/>
      <c r="E989" s="57"/>
      <c r="F989" s="58"/>
    </row>
    <row r="990" ht="16.5" customHeight="1">
      <c r="A990" s="55"/>
      <c r="C990" s="2"/>
      <c r="D990" s="56"/>
      <c r="E990" s="57"/>
      <c r="F990" s="58"/>
    </row>
    <row r="991" ht="16.5" customHeight="1">
      <c r="A991" s="55"/>
      <c r="C991" s="2"/>
      <c r="D991" s="56"/>
      <c r="E991" s="57"/>
      <c r="F991" s="58"/>
    </row>
    <row r="992" ht="16.5" customHeight="1">
      <c r="A992" s="55"/>
      <c r="C992" s="2"/>
      <c r="D992" s="56"/>
      <c r="E992" s="57"/>
      <c r="F992" s="58"/>
    </row>
    <row r="993" ht="16.5" customHeight="1">
      <c r="A993" s="55"/>
      <c r="C993" s="2"/>
      <c r="D993" s="56"/>
      <c r="E993" s="57"/>
      <c r="F993" s="58"/>
    </row>
    <row r="994" ht="16.5" customHeight="1">
      <c r="A994" s="55"/>
      <c r="C994" s="2"/>
      <c r="D994" s="56"/>
      <c r="E994" s="57"/>
      <c r="F994" s="58"/>
    </row>
    <row r="995" ht="16.5" customHeight="1">
      <c r="A995" s="55"/>
      <c r="C995" s="2"/>
      <c r="D995" s="56"/>
      <c r="E995" s="57"/>
      <c r="F995" s="58"/>
    </row>
    <row r="996" ht="16.5" customHeight="1">
      <c r="A996" s="55"/>
      <c r="C996" s="2"/>
      <c r="D996" s="56"/>
      <c r="E996" s="57"/>
      <c r="F996" s="58"/>
    </row>
    <row r="997" ht="16.5" customHeight="1">
      <c r="A997" s="55"/>
      <c r="C997" s="2"/>
      <c r="D997" s="56"/>
      <c r="E997" s="57"/>
      <c r="F997" s="58"/>
    </row>
    <row r="998" ht="16.5" customHeight="1">
      <c r="A998" s="55"/>
      <c r="C998" s="2"/>
      <c r="D998" s="56"/>
      <c r="E998" s="57"/>
      <c r="F998" s="58"/>
    </row>
    <row r="999" ht="16.5" customHeight="1">
      <c r="A999" s="55"/>
      <c r="C999" s="2"/>
      <c r="D999" s="56"/>
      <c r="E999" s="57"/>
      <c r="F999" s="58"/>
    </row>
  </sheetData>
  <mergeCells count="3">
    <mergeCell ref="A1:F1"/>
    <mergeCell ref="B29:F29"/>
    <mergeCell ref="B30:F30"/>
  </mergeCells>
  <printOptions/>
  <pageMargins bottom="0.6692913385826772" footer="0.0" header="0.0" left="0.5905511811023623" right="0.2362204724409449" top="1.3779527559055118"/>
  <pageSetup paperSize="9" orientation="portrait"/>
  <headerFooter>
    <oddHeader>&amp;L案名:陳公館室內裝修工程 地點:台北市木柵 填表:九維設計  簡維谷&amp;C工程報價單&amp;R&amp;D</oddHeader>
    <oddFooter>&amp;C&amp;P/&amp;R&amp;F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2024-09-23T07:41:10Z</dcterms:created>
  <dc:creator>維谷 簡</dc:creator>
</cp:coreProperties>
</file>